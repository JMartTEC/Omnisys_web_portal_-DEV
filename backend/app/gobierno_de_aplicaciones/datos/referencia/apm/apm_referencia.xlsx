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omments1.xml" ContentType="application/vnd.openxmlformats-officedocument.spreadsheetml.comments+xml"/>
  <Override PartName="/xl/drawings/drawing4.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Users\AdminXian\Desktop\TD-TecMty Ecosistema Digital VPAF\HI entregables\Aplicacion de poc-ia-ready TEC\portal_apm_tdd_ia_v12\backend\datos\referencia\apm\"/>
    </mc:Choice>
  </mc:AlternateContent>
  <xr:revisionPtr revIDLastSave="0" documentId="13_ncr:1_{655FE8F0-43B1-424D-8AF3-E917C27F081D}" xr6:coauthVersionLast="47" xr6:coauthVersionMax="47" xr10:uidLastSave="{00000000-0000-0000-0000-000000000000}"/>
  <bookViews>
    <workbookView xWindow="1131" yWindow="497" windowWidth="20855" windowHeight="16920" tabRatio="500" firstSheet="2" activeTab="2" xr2:uid="{00000000-000D-0000-FFFF-FFFF00000000}"/>
  </bookViews>
  <sheets>
    <sheet name="Portada" sheetId="1" r:id="rId1"/>
    <sheet name="README" sheetId="2" r:id="rId2"/>
    <sheet name="Inventory" sheetId="3" r:id="rId3"/>
    <sheet name="TIME Assessment" sheetId="4" r:id="rId4"/>
    <sheet name="Dashboard" sheetId="5" r:id="rId5"/>
    <sheet name="Process" sheetId="6" r:id="rId6"/>
    <sheet name="Lookups" sheetId="7" r:id="rId7"/>
    <sheet name="Hoja1" sheetId="8" r:id="rId8"/>
  </sheets>
  <definedNames>
    <definedName name="_xlnm._FilterDatabase" localSheetId="2" hidden="1">Inventory!$A$3:$AQ$212</definedName>
    <definedName name="_xlnm.Print_Area" localSheetId="0">Portada!$A$1:$L$45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N31" i="5" l="1"/>
  <c r="J31" i="5"/>
  <c r="F31" i="5"/>
  <c r="B31" i="5"/>
  <c r="N26" i="5"/>
  <c r="I39" i="5" s="1"/>
  <c r="J26" i="5"/>
  <c r="I38" i="5" s="1"/>
  <c r="F26" i="5"/>
  <c r="I37" i="5" s="1"/>
  <c r="B26" i="5"/>
  <c r="I36" i="5" s="1"/>
  <c r="N22" i="5"/>
  <c r="F39" i="5" s="1"/>
  <c r="J22" i="5"/>
  <c r="F38" i="5" s="1"/>
  <c r="F22" i="5"/>
  <c r="F37" i="5" s="1"/>
  <c r="B22" i="5"/>
  <c r="F36" i="5" s="1"/>
  <c r="N18" i="5"/>
  <c r="J18" i="5"/>
  <c r="F18" i="5"/>
  <c r="B18" i="5"/>
  <c r="AH72" i="3"/>
  <c r="AH69" i="3"/>
  <c r="AH68" i="3"/>
  <c r="AH67" i="3"/>
  <c r="AH66" i="3"/>
  <c r="AH65" i="3"/>
  <c r="AH64" i="3"/>
  <c r="AH63" i="3"/>
  <c r="AH62" i="3"/>
  <c r="AH61" i="3"/>
  <c r="AH60" i="3"/>
  <c r="AH59" i="3"/>
  <c r="AH58" i="3"/>
  <c r="AH57" i="3"/>
  <c r="AH56" i="3"/>
  <c r="AH55" i="3"/>
  <c r="AH54" i="3"/>
  <c r="AH53" i="3"/>
  <c r="AH52" i="3"/>
  <c r="AH51" i="3"/>
  <c r="AH50" i="3"/>
  <c r="AH49" i="3"/>
  <c r="AH48" i="3"/>
  <c r="AH47" i="3"/>
  <c r="AH46" i="3"/>
  <c r="AH45" i="3"/>
  <c r="AH44" i="3"/>
  <c r="AH43" i="3"/>
  <c r="AH42" i="3"/>
  <c r="AH41" i="3"/>
  <c r="AH40" i="3"/>
  <c r="AH39" i="3"/>
  <c r="AH38" i="3"/>
  <c r="AH37" i="3"/>
  <c r="AH36" i="3"/>
  <c r="AH35" i="3"/>
  <c r="AH34" i="3"/>
  <c r="AH27" i="3"/>
  <c r="AH26" i="3"/>
  <c r="AH25" i="3"/>
  <c r="AH24" i="3"/>
  <c r="AH23" i="3"/>
  <c r="AH22" i="3"/>
  <c r="AH21" i="3"/>
  <c r="AH20" i="3"/>
  <c r="AH19" i="3"/>
  <c r="AH18" i="3"/>
  <c r="AH17" i="3"/>
  <c r="AH16" i="3"/>
  <c r="AH15" i="3"/>
  <c r="AH14" i="3"/>
  <c r="AH13" i="3"/>
  <c r="AH12" i="3"/>
  <c r="AH11" i="3"/>
  <c r="AH10" i="3"/>
  <c r="AH9" i="3"/>
  <c r="AH8" i="3"/>
  <c r="AH7" i="3"/>
  <c r="AH6" i="3"/>
  <c r="AH5" i="3"/>
  <c r="AH4" i="3"/>
  <c r="N14" i="5" l="1"/>
  <c r="B7" i="5"/>
  <c r="C36" i="5" s="1"/>
  <c r="F7" i="5"/>
  <c r="C37" i="5" s="1"/>
  <c r="J7" i="5"/>
  <c r="C38" i="5" s="1"/>
  <c r="N7" i="5"/>
  <c r="C39" i="5" s="1"/>
  <c r="B14" i="5"/>
  <c r="F14" i="5"/>
  <c r="J14" i="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Claude (Cowork) - análisis Evidencia y platicas</author>
  </authors>
  <commentList>
    <comment ref="N4" authorId="0" shapeId="0" xr:uid="{00000000-0006-0000-0200-000001000000}">
      <text>
        <r>
          <rPr>
            <sz val="11"/>
            <color theme="1"/>
            <rFont val="Calibri"/>
            <family val="2"/>
            <charset val="1"/>
          </rPr>
          <t>Confirmado en minuta de sesión 'Inventario de aplicativos y responsables actuales' (26/08/2026, con Claudia Arellano Arciga): operación y soporte de SEA siguen bajo Adrián Figueroa mientras se completa la transición a Uman Diez. SEA es uno de los 5 habilitadores prioritarios (junto con Portal Unificado, Cypher Learning, PASE y VTEX/Ecommerce) para el primer release.</t>
        </r>
      </text>
    </comment>
    <comment ref="S4" authorId="0" shapeId="0" xr:uid="{00000000-0006-0000-0200-000002000000}">
      <text>
        <r>
          <rPr>
            <sz val="11"/>
            <color theme="1"/>
            <rFont val="Calibri"/>
            <family val="2"/>
            <charset val="1"/>
          </rPr>
          <t>El diagrama ER 'SEA - Servicios Escolares.svg' muestra un esquema legado mucho más amplio que el núcleo descrito: decenas de tablas adicionales (alumnos, profesores, materias, bitacora, grupos, campañas, artículos, eventos, kardalumno, notasprofesor, alumnosborrados, repositorio de programas abiertos, calificaciones de alumno, etc.). Sugiere documentar este esquema legado como parte del stack técnico de SEA.</t>
        </r>
      </text>
    </comment>
    <comment ref="F6" authorId="0" shapeId="0" xr:uid="{00000000-0006-0000-0200-000003000000}">
      <text>
        <r>
          <rPr>
            <sz val="11"/>
            <color theme="1"/>
            <rFont val="Calibri"/>
            <family val="2"/>
            <charset val="1"/>
          </rPr>
          <t>PASE confirmado como uno de los 5 habilitadores prioritarios de la iniciativa (junto con SEA, Portal Unificado, Cypher Learning y VTEX/Ecommerce) en las sesiones de contexto de VTEX (02/09/2026) y Cypher Learning (03/09/2026).</t>
        </r>
      </text>
    </comment>
    <comment ref="AR6" authorId="0" shapeId="0" xr:uid="{00000000-0006-0000-0200-000004000000}">
      <text>
        <r>
          <rPr>
            <sz val="11"/>
            <color theme="1"/>
            <rFont val="Calibri"/>
            <family val="2"/>
            <charset val="1"/>
          </rPr>
          <t>Correo formal 'Solicitud de documentación de PASE' enviado a Angelina Alarcón Romero (responsable técnico/implementación registrado en esta fila) el 01/09/2026, solicitando: diagramas, usuarios y roles, casos de uso, historias de usuario, requerimientos y cualquier otro documento relacionado. No se localizó evidencia de respuesta en la carpeta de correos revisada.</t>
        </r>
      </text>
    </comment>
    <comment ref="P20" authorId="0" shapeId="0" xr:uid="{00000000-0006-0000-0200-000005000000}">
      <text>
        <r>
          <rPr>
            <sz val="11"/>
            <color theme="1"/>
            <rFont val="Calibri"/>
            <family val="2"/>
            <charset val="1"/>
          </rPr>
          <t>Sesión de contexto 03/09/2026 (con Claudia Arellano Arciga, Israel Martínez Frías y Silvino Muñoz Caracas): al ser SaaS, se aclaró que NO es necesario documentar infraestructura o arquitectura interna del proveedor; el foco debe ser contratos, SLA, responsables, usuarios e integraciones. Actualmente opera principalmente con cargas manuales; las integraciones vía API con otras plataformas aún están en proceso de habilitación. Backlog posterior de ~35 aplicativos adicionales tras las 5 prioritarias.</t>
        </r>
      </text>
    </comment>
    <comment ref="P24" authorId="0" shapeId="0" xr:uid="{00000000-0006-0000-0200-000006000000}">
      <text>
        <r>
          <rPr>
            <sz val="11"/>
            <color theme="1"/>
            <rFont val="Calibri"/>
            <family val="2"/>
            <charset val="1"/>
          </rPr>
          <t>Esquema de base de datos confirmado (Esquema-Describe-BD.xlsx): instancia RDS MySQL 8.0.40 en AWS, host gamalog.cyzqdnpbplb2.us-east-1.rds.amazonaws.com, ~480 MB, esquema 'EDUCACIONCONTINUA' con 26 tablas: REGISTRO (97 columnas), TRANSACCIONES, PROGRAMAS, PROGRAMAS_MODULOS(_SESIONES), ORDERS(_PAYMENTATTEMPTS/_DETAIL/_REGISTROS), LERNIT_COMPRA(_CURSOS), DATOS_FACTURACION, BECAS, USUARIOS_CONTRASENAS (SSO tipo Facebook/Gmail), codigos_postales, ci_sessions, EMAILS_DOMINIOS, catálogos internos de estatus/sede/tipo de programa.</t>
        </r>
      </text>
    </comment>
    <comment ref="R24" authorId="0" shapeId="0" xr:uid="{00000000-0006-0000-0200-000007000000}">
      <text>
        <r>
          <rPr>
            <sz val="11"/>
            <color theme="1"/>
            <rFont val="Calibri"/>
            <family val="2"/>
            <charset val="1"/>
          </rPr>
          <t>Corrección/detalle según diagrama de infraestructura: corre en AWS Cloud con unidades de cómputo propias (ambientes Producción y Desarrollo) + 2 bases MySQL — es un desarrollo custom hospedado en AWS, no un SaaS de terceros puro. Autenticación externa vía Facebook y Gmail, además de la nativa del portal. Depende de una segunda nube (Azure/SEA con MariaDB, dependiente de Salesforce) y de servicios externos: Tec.Pay (pasarela de cobros) y un 'Middleware' interno que dispara HubSpot para notificaciones de recordatorio e-mail y generación de factura.</t>
        </r>
      </text>
    </comment>
    <comment ref="AL24" authorId="0" shapeId="0" xr:uid="{00000000-0006-0000-0200-000008000000}">
      <text>
        <r>
          <rPr>
            <sz val="11"/>
            <color theme="1"/>
            <rFont val="Calibri"/>
            <family val="2"/>
            <charset val="1"/>
          </rPr>
          <t>Los diagramas de secuencia y de infraestructura confirman además: integración directa con Tec.Pay (pasarela de pago) y con un 'Middleware' interno que dispara HubSpot para notificaciones (recordatorio de inscripción, generación de factura). También existen canales alternos de venta ya diseñados: (1) Shopify — requiere desarrollar un webhook intermediario que aún no existe, y la integración con Tec.Pay solo es posible vía un servicio intermediario desarrollado por el proveedor (Merlioni); (2) VTEX Marketec — ya cuenta con pasarela de cobros propia integrada directo con Salesforce/Banner, sin pasos adicionales.</t>
        </r>
      </text>
    </comment>
    <comment ref="AO24" authorId="0" shapeId="0" xr:uid="{00000000-0006-0000-0200-000009000000}">
      <text>
        <r>
          <rPr>
            <sz val="11"/>
            <color theme="1"/>
            <rFont val="Calibri"/>
            <family val="2"/>
            <charset val="1"/>
          </rPr>
          <t>Solicitud formal de documentación ('Solicitud de información y documentación de Portal de Registro y pagos') enviada el 11/09/2026 según 'Control de correos.xlsx'; sin respuesta registrada a la fecha ('Pendiente').</t>
        </r>
      </text>
    </comment>
    <comment ref="F46" authorId="0" shapeId="0" xr:uid="{00000000-0006-0000-0200-00000A000000}">
      <text>
        <r>
          <rPr>
            <sz val="11"/>
            <color theme="1"/>
            <rFont val="Calibri"/>
            <family val="2"/>
            <charset val="1"/>
          </rPr>
          <t>IMPORTANTE — posible desdoblamiento de habilitador: la sesión 'Gobierno de aplicaciones VPAF-Tec Bot' (15/09/2026, con Rafael Rico Camacho y Uman Amaru Diez Molina) aclaró que el aplicativo que su equipo desarrolla realmente se llama TEC 360 (Agente 360), con arquitectura, infraestructura y evolución propias — DISTINTO del 'TEC Bot' institucional que sigue bajo Manuel Terán (que es al que corresponde este registro). Ambos comparten antecedentes tecnológicos pero son habilitadores separados. Se recomienda evaluar si TEC 360 debe registrarse como fila independiente en este inventario.</t>
        </r>
      </text>
    </comment>
    <comment ref="K46" authorId="0" shapeId="0" xr:uid="{00000000-0006-0000-0200-00000B000000}">
      <text>
        <r>
          <rPr>
            <sz val="11"/>
            <color theme="1"/>
            <rFont val="Calibri"/>
            <family val="2"/>
            <charset val="1"/>
          </rPr>
          <t>Sesión 14/09/2026 con Miguel Ángel Burgoin Carrera: confirma que Miguel no es dueño técnico, sino usuario funcional principal / Gerente de Producto de TEC.bot. Recomendó formalmente sustituir a Thia Román González por Rafael Rico como responsable técnico (cambio ya reflejado como sugerencia en esta celda). TEC.bot aún está en construcción por el proveedor Movit, sin producción; se estima ~1 mes para verse en ambiente de prueba.</t>
        </r>
      </text>
    </comment>
    <comment ref="AL46" authorId="0" shapeId="0" xr:uid="{00000000-0006-0000-0200-00000C000000}">
      <text>
        <r>
          <rPr>
            <sz val="11"/>
            <color theme="1"/>
            <rFont val="Calibri"/>
            <family val="2"/>
            <charset val="1"/>
          </rPr>
          <t>Fuente adicional recomendada (sesión 15/09/2026 con Uman Amaru Diez Molina): los inventarios de Software/Hardware Asset Management (SAM/HAM) en ServiceNow contienen proveedores, administradores de contrato, aprobadores, fechas de contratación, licenciamiento, suscripciones, entitlements y usuarios de múltiples habilitadores de la VPAF — útil para enriquecer esta y otras fichas del inventario.</t>
        </r>
      </text>
    </comment>
    <comment ref="AR48" authorId="0" shapeId="0" xr:uid="{00000000-0006-0000-0200-00000D000000}">
      <text>
        <r>
          <rPr>
            <sz val="11"/>
            <color theme="1"/>
            <rFont val="Calibri"/>
            <family val="2"/>
            <charset val="1"/>
          </rPr>
          <t>Sesión de validación 04/09/2026 (Diana Dolores Morón González, Erika Ortiz Hernández —Consultor Externo ectotec—, Rodolfo Alfonso Velázquez Echánove —Consultor Externo Lumina—): se solicitó un diccionario de datos/guía de llenado de la ficha, y se acordó compartir las carpetas 'Moto Support' y 'Moto Operation' como fuente adicional de documentación (pendiente de recepción). También se envió correo formal 'Solicitud de documentación de PORTAL' a Diana Morón el 02/09/2026 pidiendo diagramas, usuarios/roles, casos de uso, historias de usuario y requerimientos.</t>
        </r>
      </text>
    </comment>
    <comment ref="L52" authorId="0" shapeId="0" xr:uid="{00000000-0006-0000-0200-00000E000000}">
      <text>
        <r>
          <rPr>
            <sz val="11"/>
            <color theme="1"/>
            <rFont val="Calibri"/>
            <family val="2"/>
            <charset val="1"/>
          </rPr>
          <t>Sesión de contexto 02/09/2026 (S-035, con María de Lourdes Ayala Mercado, Remigio Martínez Osorio, Arturo Ayala, Julio Berry, Juan Samperio y Ernesto Anaya): confirma a VTEX eCommerce como prioritario por sus próximos releases. Remigio Martínez Osorio se identificó como contacto adicional para documentación y trazabilidad de responsables de terceros. En esa sesión se mencionó un inventario preliminar de 67 aplicativos/habilitadores de la VPAF, con alcance ajustado a ~40 para el proyecto.</t>
        </r>
      </text>
    </comment>
    <comment ref="N54" authorId="0" shapeId="0" xr:uid="{00000000-0006-0000-0200-00000F000000}">
      <text>
        <r>
          <rPr>
            <sz val="11"/>
            <color theme="1"/>
            <rFont val="Calibri"/>
            <family val="2"/>
            <charset val="1"/>
          </rPr>
          <t>Confirmado en sesión S-048 (15/09/2026, con Ma. Elizabeth Alcalá Flores, Lucero Mayela Sotomayor Ruiz y Salvador Adrián Tijerina Dávila): existe un modelo centralizado de operación del Data Warehouse institucional (DBAs, integración, virtualización, Power BI, soporte BI), pero queda pendiente definir el soporte operativo específico de FUD dentro de la VPAF. El equipo central de datos (Grupo Educativo) define lineamientos, estándares y arquitectura de referencia; la VPAF debe definir responsables funcionales, reglas de negocio, indicadores y modelos semánticos propios de FUD.</t>
        </r>
      </text>
    </comment>
    <comment ref="AL54" authorId="0" shapeId="0" xr:uid="{00000000-0006-0000-0200-000010000000}">
      <text>
        <r>
          <rPr>
            <sz val="11"/>
            <color theme="1"/>
            <rFont val="Calibri"/>
            <family val="2"/>
            <charset val="1"/>
          </rPr>
          <t>El catálogo maestro 'EN_04_Catálogos_ED.xlsx' señala a FUD como fuente/aplicación autoritativa de al menos 2 catálogos maestros: Catálogo de roles (responsable Rafael Vélez, aprobador Antonio Pantoja) y Catálogo de encuestas (responsables Rafael Vélez -Portal- y Tania Villa -Ecommerce-). Relevante para el gobierno de datos y la gobernanza de este habilitador.</t>
        </r>
      </text>
    </comment>
  </commentList>
</comments>
</file>

<file path=xl/sharedStrings.xml><?xml version="1.0" encoding="utf-8"?>
<sst xmlns="http://schemas.openxmlformats.org/spreadsheetml/2006/main" count="2458" uniqueCount="905">
  <si>
    <t>Inventario del Portafolio de Aplicaciones (APM)</t>
  </si>
  <si>
    <t>Proyecto:</t>
  </si>
  <si>
    <t>Gestión del Portafolio de Aplicaciones — Modelo TIME de Gartner</t>
  </si>
  <si>
    <t>Omnisys S.A. de C.V.  ·  Gobierno de TI y Reportes</t>
  </si>
  <si>
    <t>📋  Estructura del Libro de Trabajo</t>
  </si>
  <si>
    <t>Hoja</t>
  </si>
  <si>
    <t>Descripción</t>
  </si>
  <si>
    <t>Inventory</t>
  </si>
  <si>
    <t>Registro principal de APM — una fila por aplicación. Las celdas amarillas son para llenar.</t>
  </si>
  <si>
    <t>TIME Assessment</t>
  </si>
  <si>
    <t>Desglose de criterios de calificación por aplicación (Valor de Negocio + Salud Técnica).</t>
  </si>
  <si>
    <t>Dashboard</t>
  </si>
  <si>
    <t>KPIs calculados automáticamente: conteo por cuadrante TIME, costo total, riesgo de EOL.</t>
  </si>
  <si>
    <t>Lookups</t>
  </si>
  <si>
    <t>Listas de referencia utilizadas por los menús desplegables de validación de datos en todo el libro.</t>
  </si>
  <si>
    <t>⬛  Modelo TIME de Gartner — Definición de Cuadrantes</t>
  </si>
  <si>
    <t>TOLERATE  ⏸</t>
  </si>
  <si>
    <t>Bajo Valor de Negocio + Alta Salud Técnica. Mantener en operación, minimizar el gasto; planear su retiro.</t>
  </si>
  <si>
    <t>INVEST  ✅</t>
  </si>
  <si>
    <t>Alto Valor de Negocio + Alta Salud Técnica. Incrementar la inversión, mejorar capacidades.</t>
  </si>
  <si>
    <t>MIGRATE  🔄</t>
  </si>
  <si>
    <t>Alto Valor de Negocio + Baja Salud Técnica. Modernizar o reemplazar la plataforma; conservar la función.</t>
  </si>
  <si>
    <t>ELIMINATE  ❌</t>
  </si>
  <si>
    <t>Bajo Valor de Negocio + Baja Salud Técnica. Dar de baja lo antes posible; recuperar el costo de licencias/infraestructura.</t>
  </si>
  <si>
    <t>🎨  Convención de Colores (hoja Inventory)</t>
  </si>
  <si>
    <t>Relleno amarillo</t>
  </si>
  <si>
    <t>Celda de entrada — dato a capturar por el dueño de TI / equipo APM.</t>
  </si>
  <si>
    <t>Texto negro</t>
  </si>
  <si>
    <t>Fórmula — no editar directamente.</t>
  </si>
  <si>
    <t>INVEST (verde)</t>
  </si>
  <si>
    <t>Disposición TIME calculada automáticamente a partir de las calificaciones en las columnas T y U.</t>
  </si>
  <si>
    <t>MIGRATE (naranja)</t>
  </si>
  <si>
    <t>TOLERATE (azul)</t>
  </si>
  <si>
    <t>ELIMINATE (rojo)</t>
  </si>
  <si>
    <t>Texto gris itálica</t>
  </si>
  <si>
    <t>Sin información — se revisó toda la documentación disponible y no se encontró ese dato para esa aplicación.</t>
  </si>
  <si>
    <t>Texto ámbar itálica</t>
  </si>
  <si>
    <t>📊  Guía de Calificación — Valor de Negocio (1–5)</t>
  </si>
  <si>
    <t>5 — Esencial</t>
  </si>
  <si>
    <t>Habilita directamente los ingresos o servicios de cara al cliente. No hay alternativa viable.</t>
  </si>
  <si>
    <t>4 — Importante</t>
  </si>
  <si>
    <t>Soporte significativo a procesos. Es posible una solución temporal a corto plazo, pero costosa.</t>
  </si>
  <si>
    <t>3 — Moderado</t>
  </si>
  <si>
    <t>Útil pero no crítico. Un proceso manual podría sustituirlo temporalmente.</t>
  </si>
  <si>
    <t>2 — Marginal</t>
  </si>
  <si>
    <t>Usuarios o casos de uso limitados. Se traslapa con otras herramientas.</t>
  </si>
  <si>
    <t>1 — Mínimo</t>
  </si>
  <si>
    <t>🔧  Guía de Calificación — Salud Técnica (1–5)</t>
  </si>
  <si>
    <t>5 — Excelente</t>
  </si>
  <si>
    <t>Arquitectura moderna, con soporte del proveedor, sin defectos conocidos, pruebas automatizadas.</t>
  </si>
  <si>
    <t>4 — Bueno</t>
  </si>
  <si>
    <t>Estable, con soporte, deuda técnica menor.</t>
  </si>
  <si>
    <t>3 — Aceptable</t>
  </si>
  <si>
    <t>Deuda técnica moderada, documentación limitada, despliegues manuales.</t>
  </si>
  <si>
    <t>2 — Deficiente</t>
  </si>
  <si>
    <t>Plataforma envejecida, próxima a EOL, backlog de defectos considerable.</t>
  </si>
  <si>
    <t>1 — Crítico</t>
  </si>
  <si>
    <t>🔄  Cadencia de Gobierno</t>
  </si>
  <si>
    <t>Revisión Anual</t>
  </si>
  <si>
    <t>Reevaluación completa del portafolio. Actualizar todas las calificaciones, costos y disposiciones TIME.</t>
  </si>
  <si>
    <t>Revisión Trimestral</t>
  </si>
  <si>
    <t>Revisar las aplicaciones marcadas como Migrate o Eliminate. Actualizar EOL y estatus del proyecto.</t>
  </si>
  <si>
    <t>Alta de Nueva Aplicación</t>
  </si>
  <si>
    <t>Toda aplicación nueva debe registrarse en Inventory antes de su puesta en producción.</t>
  </si>
  <si>
    <t>Baja / Desmantelamiento</t>
  </si>
  <si>
    <t>Actualizar Status → Retiring, definir FEC_BAJA, retirar de la asignación de costos activa.</t>
  </si>
  <si>
    <t>🔄  Criticidad Tec</t>
  </si>
  <si>
    <t xml:space="preserve">5 - </t>
  </si>
  <si>
    <t xml:space="preserve">4 - </t>
  </si>
  <si>
    <t>3 -</t>
  </si>
  <si>
    <t>2 -</t>
  </si>
  <si>
    <t>1 -</t>
  </si>
  <si>
    <t>🗂️  Fuentes de Datos Externas Utilizadas</t>
  </si>
  <si>
    <t>Correspondencia_Aplicaciones_APM_vs_Habilitadores.xlsx</t>
  </si>
  <si>
    <t>Mapeo Aplicativo APM ↔ ID Habilitador, y el responsable que revisó cada mapeo (columna 'Responsable Técnico' del Inventory antes de la corrección: ahora viene de una fuente mejor, ver abajo).</t>
  </si>
  <si>
    <t>habilitadores tec.xlsx</t>
  </si>
  <si>
    <t>Catálogo institucional de habilitadores: Responsable funcional / implementación / operación / soporte, URLs, Product Owner, Producto_Componente (usado para Dominio de Negocio).</t>
  </si>
  <si>
    <t>Diagnóstico Actual de Identidad Digital (Verano 2026)</t>
  </si>
  <si>
    <t>Usuarios/Volumetría, Estado de ciberseguridad, Datos personales tratados, Nivel de prioridad de integración/migración (usado para estimar Puntaje ST), y Responsable técnico/soporte real por aplicación.</t>
  </si>
  <si>
    <t>Pestaña 'TIME Assessment' de este mismo libro</t>
  </si>
  <si>
    <t>Criterios y escala 1–5 usados para Puntaje VN (derivado de Criticidad) y Puntaje ST, y la fórmula de Disposición TIME.</t>
  </si>
  <si>
    <t>Posible ubicación de los 2 archivos xlsx de arriba</t>
  </si>
  <si>
    <t>No se localizaron como archivos individuales dentro del índice de carpetas (el índice solo cataloga carpetas, no archivos), pero las carpetas 'SEA/Documentos Adicionales/SEA/SEA/Mapeos' y 'SEA/Documentos Adicionales/SEA/Inventario' son las candidatas más probables por nombre — verificar ahí primero.</t>
  </si>
  <si>
    <t>Ver carpeta: Mapeos</t>
  </si>
  <si>
    <t>Ver carpeta: Inventario</t>
  </si>
  <si>
    <t>📌  Historial de Versiones</t>
  </si>
  <si>
    <t>v16 (19-ago-2026)</t>
  </si>
  <si>
    <t>Segunda pasada de verificación, más exhaustiva, sobre el índice de carpetas SharePoint: se cruzaron también Descripción, Proveedor y Notas de cada aplicativo (no solo el nombre). Se agregaron 7 fuentes parciales nuevas: Qualtrics→Encuesta Cliente VEC, Formulario U4O→Solicitud de Inscripción SF-SEA, Página de oferta VEC y Algolia→Flujo de búsqueda de productos, Portal Unificado→Integración Portal-Drupal, OpenText NAM→carpeta Identidad Digital, OpenPay→Flujo de compra de productos. Se retiró el vínculo de DED (portales VEC): era coincidencia de siglas con 'Presentaciones de avance DED', no evidencia real. Se agregó hipervínculo real a la fuente 'Diagnóstico Actual de Identidad Digital' citada arriba, y un apunte con las 2 carpetas candidatas ('Mapeos' e 'Inventario') donde probablemente estén los 2 xlsx de correspondencia/habilitadores aún no localizados.</t>
  </si>
  <si>
    <t>v15 (19-ago-2026)</t>
  </si>
  <si>
    <t>Se agregó la columna 'Fuente de Información (SharePoint)' (hoja Inventory, con columna 'Confianza') cruzando los 49 aplicativos contra el índice de carpetas 'TD - Ecosistema Digital VPAF'. 9 aplicativos con carpeta dedicada confirmada, 5 con evidencia parcial/relacionada, 35 sin carpeta correspondiente en ese índice (pendientes de ubicar en Correspondencia_Aplicaciones_APM_vs_Habilitadores.xlsx / habilitadores tec.xlsx). Se marcaron en Notas 3 pares de filas que comparten el mismo ID Habilitador (filas 10/47, 25/26, 41/52) para validar si es intencional.</t>
  </si>
  <si>
    <t>v14</t>
  </si>
  <si>
    <t>Versión previa recibida como línea base para esta revisión.</t>
  </si>
  <si>
    <t>ID</t>
  </si>
  <si>
    <t>Identidad de la Aplicación</t>
  </si>
  <si>
    <t>Perfil Técnico</t>
  </si>
  <si>
    <t>Ciclo de Vida</t>
  </si>
  <si>
    <t>Costos de Propiedad</t>
  </si>
  <si>
    <t>Calificación APM</t>
  </si>
  <si>
    <t>Gobierno</t>
  </si>
  <si>
    <t>Riesgo y Cumplimiento</t>
  </si>
  <si>
    <t>Valores TEC</t>
  </si>
  <si>
    <t>Trazabilidad</t>
  </si>
  <si>
    <t>#</t>
  </si>
  <si>
    <t>Revisado</t>
  </si>
  <si>
    <t>VPAF/Centrales</t>
  </si>
  <si>
    <t>Decomiso</t>
  </si>
  <si>
    <t>ID Habilitador</t>
  </si>
  <si>
    <t>Habilitador (Aplicación)</t>
  </si>
  <si>
    <t>Producto_Componente:Title</t>
  </si>
  <si>
    <t>Producto_Componente</t>
  </si>
  <si>
    <t>Dueño Negocio 
(Product Owner)</t>
  </si>
  <si>
    <t>Responsable Técnico</t>
  </si>
  <si>
    <t>Responsable funcional</t>
  </si>
  <si>
    <t>Responsable de implementación</t>
  </si>
  <si>
    <t>Responsable de operación</t>
  </si>
  <si>
    <t>Responsable de soporte</t>
  </si>
  <si>
    <t>Proveedor</t>
  </si>
  <si>
    <t>Nivel de customización</t>
  </si>
  <si>
    <t>Hosting</t>
  </si>
  <si>
    <t>Stack Tecnológico</t>
  </si>
  <si>
    <t>Dirección URL (PROD)</t>
  </si>
  <si>
    <t>Dirección URL (DEVL)</t>
  </si>
  <si>
    <t>Dirección URL (PPRD)</t>
  </si>
  <si>
    <t>Versión</t>
  </si>
  <si>
    <t xml:space="preserve">Primer Día Producción </t>
  </si>
  <si>
    <t>Fin de Soporte</t>
  </si>
  <si>
    <t>Usuarios Activos</t>
  </si>
  <si>
    <t>Costo Licencias($)</t>
  </si>
  <si>
    <t>Costo Infraestructura ($)</t>
  </si>
  <si>
    <t>Soporte Anual ($)</t>
  </si>
  <si>
    <t>Costo Total Anual ($)</t>
  </si>
  <si>
    <t>Criticidad</t>
  </si>
  <si>
    <t>Puntaje VN (1–5)</t>
  </si>
  <si>
    <t>Puntaje ST (1–5)</t>
  </si>
  <si>
    <t>Disposición TIME</t>
  </si>
  <si>
    <t>Fecha Última Evaluación</t>
  </si>
  <si>
    <t xml:space="preserve">Próx Revisión </t>
  </si>
  <si>
    <t>Estatus</t>
  </si>
  <si>
    <t>Integraciones #</t>
  </si>
  <si>
    <t>Clasificación de Datos</t>
  </si>
  <si>
    <t>Etiquetas de Cumplimiento</t>
  </si>
  <si>
    <t>Notas</t>
  </si>
  <si>
    <t>Ecosistema</t>
  </si>
  <si>
    <t>Fuente de Información (SharePoint)</t>
  </si>
  <si>
    <t>Confianza</t>
  </si>
  <si>
    <t>Si</t>
  </si>
  <si>
    <t>0109-HTI-001-TRXO</t>
  </si>
  <si>
    <t>SEA</t>
  </si>
  <si>
    <t>Gestión académica core: inscripciones, calificaciones, aprovisionamiento de usuarios; integra Salesforce, Canvas, Cypher, portales de registro y pago</t>
  </si>
  <si>
    <t>15. Aprendizaje para el futuro</t>
  </si>
  <si>
    <t>ATV02. Gestión Académica</t>
  </si>
  <si>
    <t>Ernesto (solo nombre de pila; fuente: Correspondencia_Aplicaciones_APM_vs_Habilitadores.xlsx)</t>
  </si>
  <si>
    <t xml:space="preserve">Adrián Leonel Figueroa Ramírez
</t>
  </si>
  <si>
    <t>claudia.arellano@tec.mx</t>
  </si>
  <si>
    <t>adrian.figueroa@tec.mx</t>
  </si>
  <si>
    <t>Adrian -&gt; Uman Diez</t>
  </si>
  <si>
    <t xml:space="preserve">Oracle </t>
  </si>
  <si>
    <t>Custom Development</t>
  </si>
  <si>
    <t>On-Premises</t>
  </si>
  <si>
    <t>Java (custom, equipo VPAF)</t>
  </si>
  <si>
    <t>Sin información</t>
  </si>
  <si>
    <t>1,206 usuarios registrados en el portal de SEA (fuente: Usuarios SEA.xls). Desglose por tipo de perfil: Superusuario 622, Comercial 315, Líder de proyecto cerrados 100, Control escolar 75, Ingresos 39, Líder prospección 20, Egresos 12, Mercadotecnia 7, Vivencia 5, Prospección 4, Comercialización VIPEC 2, Logístico 2, Líder de proyecto abiertos 2, Prospección y comercial 1.</t>
  </si>
  <si>
    <t>Mission Critical</t>
  </si>
  <si>
    <t>Active</t>
  </si>
  <si>
    <t>Confidential</t>
  </si>
  <si>
    <t xml:space="preserve"> LFPDPPP</t>
  </si>
  <si>
    <t>Gestión académica core: inscripciones, calificaciones, aprovisionamiento de usuarios; integra Salesforce, Canvas, Cypher, portales de registro y pago
Hallazgo 21-sep-2026 (revisión profunda de archivos Excel de las carpetas conectadas): (1) Usuarios — 1,206 usuarios internos reales identificados con desglose por tipo de perfil (ver columna Usuarios Activos; fuente: Usuarios SEA.xls, carpeta Evidencia y platicas\SEA). (2) Alumnos — 57,702 registros reales de alumnos con acceso al sistema (fuente: AlumnosDatos.xlsx, Repositorio TD-Ecosistema Digital VPAF\Documentos Adicionales\SEA\SEA; solo se registra el conteo por tratarse de datos personales). (3) Modelo de datos — esquema real de 13 tablas de la base de datos (controlprogramas, datospersonales, controlprogramas_datosadicionales, datosmodulos, sesiones, asignacionprofesores, datosprofesores, profesoresgastosreales, pagotemporal, solicitudesrecibidas, controlalumnos, usuariounico, sincronizacionsistemas; fuente: TablasImportantesSEA.xlsx). (4) Procesos — 71 procesos/subprocesos funcionales de SEA (líneas U4P y U4O) y 29 mapeos técnicos (fuente: ATV Listado de procesos.xlsx). (5) Automatizaciones — 991 automatizaciones reales de Salesforce/VEC ligadas a SEA, cada una con su propio horario de ejecución (fuente: Automatizaciones flujos SF VEC (U4P y U4O).xlsx). Archivos 3-5 ubicados en Repositorio TD-Ecosistema Digital VPAF\Documentos Adicionales\SEA\Documentación Datos\Documentación SEA.</t>
  </si>
  <si>
    <t>VEC</t>
  </si>
  <si>
    <t>SEA - carpeta principal</t>
  </si>
  <si>
    <t>Confirmada</t>
  </si>
  <si>
    <t>5083-HTI-001-TRXO</t>
  </si>
  <si>
    <t>Middleware Comercial B2C</t>
  </si>
  <si>
    <t>Puente de datos / integración entre HubSpot, Salesforce, SEA y Looker; complementa leads y mueve registros</t>
  </si>
  <si>
    <t>Victor Rafael Tena</t>
  </si>
  <si>
    <t>victor.tena@tec.mx</t>
  </si>
  <si>
    <t>AWS</t>
  </si>
  <si>
    <t>Cloud-PaaS</t>
  </si>
  <si>
    <t>AWS (RDS, S3); .Net C#, código sin login propio</t>
  </si>
  <si>
    <t>https://sso-saml.tec.mx</t>
  </si>
  <si>
    <t>https://sso-saml-dev.tec.mx</t>
  </si>
  <si>
    <t>https://sso-saml-qa.tec.mx</t>
  </si>
  <si>
    <t>De acuerdo a sesiones previas con Gobierno de datos, se tiene un estimado de 1,800,000 registros en RDS (leads desde 2019 a 2025)</t>
  </si>
  <si>
    <t>Medium</t>
  </si>
  <si>
    <t>Under Evaluation</t>
  </si>
  <si>
    <t>Restricted</t>
  </si>
  <si>
    <t xml:space="preserve"> </t>
  </si>
  <si>
    <t>No se encontró carpeta correspondiente en el índice de SharePoint</t>
  </si>
  <si>
    <t>No encontrada</t>
  </si>
  <si>
    <t>0606-HTI-001-TRXC</t>
  </si>
  <si>
    <t>PASE</t>
  </si>
  <si>
    <t>Gestión de identidad y talento académico (expertos, candidatos); historial &gt;115K registros</t>
  </si>
  <si>
    <t>08. Colaboradores</t>
  </si>
  <si>
    <t>CLB05. Gestión de Talento</t>
  </si>
  <si>
    <t>Erik Sandoval Gutiérrez (esgutierrez@tec.mx) — Líder de Inteligencia Comercial</t>
  </si>
  <si>
    <t xml:space="preserve">Angelina Alarcón Romero
</t>
  </si>
  <si>
    <t>iván Valdovinos</t>
  </si>
  <si>
    <t>Angelina Alarcón Romero</t>
  </si>
  <si>
    <t>anacopeliaalvarado@tec.mx -&gt; Uman Diez</t>
  </si>
  <si>
    <t>esgutierrez@tec.mx -&gt; Uman Diez</t>
  </si>
  <si>
    <t>Desarrollo interno ITESM–VPAF (Erik Sandoval Gutiérrez, L01260117); infraestructura en Azure</t>
  </si>
  <si>
    <t>Cloud-IaaS (Azure VM)</t>
  </si>
  <si>
    <t>ASP.NET / .NET Framework 4.8 sobre IIS 10; SQL Server 2012 + SSIS; librerías ClosedXML, Newtonsoft.Json, ZingChart, jQCloud, Font Awesome 4.7</t>
  </si>
  <si>
    <t>https://pase.tec.mx/ITESM/Interno/Talento/Forms/01/REVEC_Login</t>
  </si>
  <si>
    <t>https://dev.iportafolio.app</t>
  </si>
  <si>
    <t>Componentes fuera de soporte del fabricante: SQL Server 2012 (12/07/2022) y Windows 10 (14/10/2025)</t>
  </si>
  <si>
    <t>Aproximadamente 5,000 expertos han dejado información en la plataforma.
De esos, alrededor de 2,500 expertos han tenido participación activa en proyectos o evaluaciones.</t>
  </si>
  <si>
    <t xml:space="preserve">	2027-08-17</t>
  </si>
  <si>
    <t>Datos personales (LFPDPPP): RFC, CURP, correo, teléfono, fotografía. Avisos de Privacidad Candidatos / Empleados / Educación Continua. Contraseñas cifradas en BD. Sin SSO institucional.</t>
  </si>
  <si>
    <t>Gestión de identidad y talento académico (expertos, candidatos); historial &gt;115K registros
Ambientes: solo PROD. No existen DEVL, PPRD ni Capacitación (Arquitectura del Sistema §6, V1.9 del 03-Jul-2024).
URL corregida a pase.tec.mx. Las direcciones iportafolio.app pertenecen a otro habilitador (responsable Angelina Alarcón), no a PASE.
Infraestructura: dos instancias en Azure VM (app IIS + BD SQL Server 2012 con SSIS). Riesgo de obsolescencia tecnológica.
Autenticación nativa confirmada por documento oficial: correo + contraseña cifrada en BD, para internos y expertos externos. No usa Azure AD.
Base de datos: 48 stored procedures en 12 categorías, 5 de criticidad alta y 3 ligados a APIs públicas (corte 25/05/2026).
Integración pendiente PASE → Drupal (INT-R1-002 v2.2, junio 2026): riesgo D6 BLOQUEANTE por acceso de red a SQL Server. Contacto: Erik Sandoval.
Las 7 integraciones son: Qualtrics (mensual vía SSIS), archivo GyT de categorización (diario), Google Maps API, API U4P Semblanza hacia maestriasydiplomados.tec.mx, API iPortafolio, Territorium (enlace académico) y CRM Empresas.</t>
  </si>
  <si>
    <t>0605-HIT-001-TRXC</t>
  </si>
  <si>
    <t>iPortafolio</t>
  </si>
  <si>
    <t>Sistema con IA generativa para construcción de propuestas comerciales; consume Salesforce y PASE</t>
  </si>
  <si>
    <t>ATV03-1. Atracción y Venta</t>
  </si>
  <si>
    <t xml:space="preserve">Angelina Alarcón Romero  </t>
  </si>
  <si>
    <t>angelina.alarcon@tec.mx</t>
  </si>
  <si>
    <t>luis.chitala@tec.mx</t>
  </si>
  <si>
    <t>Microsoft Azure</t>
  </si>
  <si>
    <t>Hybrid</t>
  </si>
  <si>
    <t>Django + Azure AD</t>
  </si>
  <si>
    <t>https://iportafolio.app</t>
  </si>
  <si>
    <t>Actualmente 121 usuarios (Asesores de organizaciones y equipo de la VEC). 
1500 propuestas acumuladas en dos años
20 a 25 propuestas nuevas por quincena</t>
  </si>
  <si>
    <t>0613-HTI-001-TRXO</t>
  </si>
  <si>
    <t>Ticket DAP</t>
  </si>
  <si>
    <t>Levantamiento y gestión de tickets internos de soporte operativo; integrado con Salesforce y SEA</t>
  </si>
  <si>
    <t>ATV01. Compra y Pago</t>
  </si>
  <si>
    <t>Laura (solo nombre de pila; fuente: Correspondencia_Aplicaciones_APM_vs_Habilitadores.xlsx)</t>
  </si>
  <si>
    <t>Víctor Rafael Tena Ojeda</t>
  </si>
  <si>
    <t>Desarrollo interno (Tec de Monterrey)</t>
  </si>
  <si>
    <t>Cloud-SaaS</t>
  </si>
  <si>
    <t>Python (FastAPI) sobre Docker</t>
  </si>
  <si>
    <t>https://www.tecdap.net/help</t>
  </si>
  <si>
    <t xml:space="preserve">https://www.tecdap.net/help_dev </t>
  </si>
  <si>
    <t>160.0</t>
  </si>
  <si>
    <t>0495-HTI-001-SDMC</t>
  </si>
  <si>
    <t>Service Now (ex CASEC)</t>
  </si>
  <si>
    <t>Mesa de servicio institucional, atención de tickets de colaboradores</t>
  </si>
  <si>
    <t>alan.bustamante@tec.mx</t>
  </si>
  <si>
    <t>Cada dueño -&gt; Hoy se centralizan con Blanca Mata</t>
  </si>
  <si>
    <t>Miguel Burgoin / Blanca Mata</t>
  </si>
  <si>
    <t>jebreyes@tec.mx</t>
  </si>
  <si>
    <t>josemiguel@tec.mx</t>
  </si>
  <si>
    <t>oscar.rdz@tec.mx</t>
  </si>
  <si>
    <t>ServiceNow</t>
  </si>
  <si>
    <t>Commercial Off-the-Shelf</t>
  </si>
  <si>
    <t>ServiceNow (federado MiTec)</t>
  </si>
  <si>
    <t>Más de 300 usuarios de la VPAF que tienen acceso a levantar tickets y cerca de 30 analistas que los resuelve</t>
  </si>
  <si>
    <t>DIR-015 - TecBot VPAF-Service Now (solo integración con TecBot)</t>
  </si>
  <si>
    <t>Parcial / relacionada</t>
  </si>
  <si>
    <t>5149-VPA-001-BIPC</t>
  </si>
  <si>
    <t>Sistema de Rúbricas / Perfilador</t>
  </si>
  <si>
    <t>Perfilador de prospectos antes de inscripción; ~5,000 aprendedores hacen la prueba</t>
  </si>
  <si>
    <t>nlopeznegrete@tec.mx</t>
  </si>
  <si>
    <t>Google + Azure</t>
  </si>
  <si>
    <t>PHP + MySQL (auth Google + Azure)</t>
  </si>
  <si>
    <t>10 usuarios que obtienen información.
5 mil aprendedores que hacen la prueba (usuarios que agregan información).</t>
  </si>
  <si>
    <t>Low</t>
  </si>
  <si>
    <t>⚠ Verificar: ID Habilitador también asignado a fila 47 ("Buscador / Search Bar").</t>
  </si>
  <si>
    <t>MICASA</t>
  </si>
  <si>
    <t>Sitio informativo para profesores/expertos; concentra recursos y comunicaciones</t>
  </si>
  <si>
    <t>Ana Copelia Alvarado Zepeda</t>
  </si>
  <si>
    <t>Google</t>
  </si>
  <si>
    <t>Google Sites</t>
  </si>
  <si>
    <t>N/A</t>
  </si>
  <si>
    <t>Retiring</t>
  </si>
  <si>
    <t>Internal</t>
  </si>
  <si>
    <t>Legismex</t>
  </si>
  <si>
    <t>Sitio del centro de tecnologías para el desarrollo sostenible, contenidos jurídicos/normativos para empresas</t>
  </si>
  <si>
    <t>María Antonia Garza Jasso</t>
  </si>
  <si>
    <t>Front en servidor externo (tecnología por confirmar)</t>
  </si>
  <si>
    <t>No especificado, pero limitado a empresas registradas manualmente
230 empresas y son entre 850 y 900 usuarios</t>
  </si>
  <si>
    <t>0238-HTI-001-MKAC</t>
  </si>
  <si>
    <t>HubSpot</t>
  </si>
  <si>
    <t>Marketing automation y campañas; centraliza leads de U4O y U4P; integra Middleware y Salesforce</t>
  </si>
  <si>
    <t>Carlos Franco</t>
  </si>
  <si>
    <t>Israel Martinez israel@tec.mx</t>
  </si>
  <si>
    <t>SaaS</t>
  </si>
  <si>
    <t>HubSpot (SaaS, federado)</t>
  </si>
  <si>
    <t>Usuarios internos
-U4O: 4
-U4P: 20</t>
  </si>
  <si>
    <t>High</t>
  </si>
  <si>
    <t>Notificaciones por HubSpot (solo diseños de notificación)</t>
  </si>
  <si>
    <t>0027-HTI-001-CRMC</t>
  </si>
  <si>
    <t>Salesforce</t>
  </si>
  <si>
    <t>CRM institucional; seguimiento de leads, oportunidades y pipeline comercial; integra Middleware, SEA, HubSpot, PASE</t>
  </si>
  <si>
    <t>Ulises (solo nombre de pila; fuente: Correspondencia_Aplicaciones_APM_vs_Habilitadores.xlsx)</t>
  </si>
  <si>
    <t>Jose Luis Torres (externo)</t>
  </si>
  <si>
    <t>B2C - Yolanda Magaña
B2B - Larisa Díaz / Erik Sandoval</t>
  </si>
  <si>
    <t>Guillermo Lopez</t>
  </si>
  <si>
    <t>1er nivel - Guillermo Lopez
2do nivel - equipo central</t>
  </si>
  <si>
    <t>Salesforce (SaaS, federado)</t>
  </si>
  <si>
    <t>Se tiene registro de 415 activos.</t>
  </si>
  <si>
    <t>JOB-012 - SEA-Pulsar-Salesforce (solo flujo de integración)</t>
  </si>
  <si>
    <t>0034-HTI-001-ERPC</t>
  </si>
  <si>
    <t>SAP (verificar información con Lulu Ayala)</t>
  </si>
  <si>
    <t>Sistema financiero institucional</t>
  </si>
  <si>
    <t>04. Finanzas</t>
  </si>
  <si>
    <t>FNC05. Información financiera y fiscal</t>
  </si>
  <si>
    <t>El soporte y gestión técnica se realiza por área central de TI, mediante tickets para aprovisionamiento y ajustes.</t>
  </si>
  <si>
    <t>Maria Amelia Estrada</t>
  </si>
  <si>
    <t>alonso.valenzuela@tec.mx</t>
  </si>
  <si>
    <t>colivar@tec.mx</t>
  </si>
  <si>
    <t>SAP</t>
  </si>
  <si>
    <t>SAP (federado, gestión central Tec)</t>
  </si>
  <si>
    <t>No se cuenta con un volumen específico, pero se cuenta con información desde el 2006.</t>
  </si>
  <si>
    <t>0222-HTI-001-SISO</t>
  </si>
  <si>
    <t>Banner (verificar información con Lulu Ayala)</t>
  </si>
  <si>
    <t>Procesos de pago automatizados (uso heredado, conexión institucional)</t>
  </si>
  <si>
    <t>16. Línea de Servicio</t>
  </si>
  <si>
    <t>HT03. Banner</t>
  </si>
  <si>
    <t>María Alejandra Rohrman Ramos (ale_rohrman@tec.mx)</t>
  </si>
  <si>
    <t>aoropeza@tec.mx</t>
  </si>
  <si>
    <t>sandra.garza@tec.mx</t>
  </si>
  <si>
    <t>antonio.jimenez@tec.mx</t>
  </si>
  <si>
    <t>Ellucian Banner</t>
  </si>
  <si>
    <t>Ellucian Banner (gestión central Tec)</t>
  </si>
  <si>
    <t>https://adminpages.tec.mx/applicationNavigator</t>
  </si>
  <si>
    <t>Sistema institucional gestionado centralmente; datos financieros de cobranza estudiantil. Acceso federado.</t>
  </si>
  <si>
    <t>Procesos de pago automatizados (uso heredado, conexión institucional)
Banner es donde se lleva la cuenta del cliente: registra el cargo, el pago y la compensación, y guarda el código de servicio con el que se arma la factura. Tres fuentes confirman este uso.
El aplicativo que corresponde a esta descripción es el módulo de cuentas por cobrar, no el de estudiantes que se le había ligado. Hay que corregir el identificador.
Se conecta con siete sistemas: Gestor de Pagos, VTEX, Portal de Registro y Pago, MDM Central, SAP, el facturador Interfactura y SEA.
Sus catálogos los administra Tech Services: códigos de detalle de cuatro caracteres, uno por moneda, y códigos de servicio de seis caracteres.
Problema conocido: las ventas del día se registran en un identificador genérico y no en la cuenta del aprendedor, por eso la factura sale primero a un RFC genérico y luego se refactura.
A quién preguntar: María Alejandra Rohrman lleva la facturación, Elva Rivas la administración tecnológica, Zulema Pargas los catálogos y Armando Contreras es el dueño funcional de educación continua.
El Tec tiene marcado que falta identificar al dueño institucional. No aparece en el inventario de metadatos de la VPAF.
Siguen pendientes costos, ambientes, versión y fechas.</t>
  </si>
  <si>
    <t>Looker Studio</t>
  </si>
  <si>
    <t>Tableros de visualización para usuarios institucionales (@tec.mx); consume datos procesados de Middleware</t>
  </si>
  <si>
    <t>10. Plataforma de Datos (propuesta)</t>
  </si>
  <si>
    <t>DP01. TEC.data (propuesta)</t>
  </si>
  <si>
    <t>Sin dueño formal asignado; usuarios registrados en VPAF: Andrés Segura (andres.pantoja@tec.mx), Erik Sandoval (esgutierrez@tec.mx), Victor Tena (victor.tena@tec.mx), Copelia Alvarado (anacopeliaalvarado@tec.mx)</t>
  </si>
  <si>
    <t>El responsable técnico es José Andrés Segura Pantoja,</t>
  </si>
  <si>
    <t>Google Looker Studio</t>
  </si>
  <si>
    <t>https://lookerstudio.google.com</t>
  </si>
  <si>
    <t>No aplica (SaaS sin ambientes) — coherente con S17 y T17, que ya dicen "No aplica"</t>
  </si>
  <si>
    <t>No aplica</t>
  </si>
  <si>
    <t>No aplica (servicio SaaS de Google sin fecha de fin de soporte contractual)</t>
  </si>
  <si>
    <t>El acceso a los tableros se limita a usuarios institucionales con correos del Tec, principalmente personal de marketing y ventas. No se menciona una cifra exacta, pero se infiere que el volumen es reducido y restringido al personal interno, sin participación de usuarios externos.</t>
  </si>
  <si>
    <t>Acceso restringido a usuarios institucionales @tec.mx. Federado y gestionado por Tec de Monterrey. Datos de negocio en tableros; sin datos personales sensibles.</t>
  </si>
  <si>
    <t>Tableros de visualización para usuarios institucionales (@tec.mx); consume datos procesados de Middleware
Looker no está dado de alta en la wiki de habilitadores ni en el inventario de metadatos de la VPAF, pero sí aparece en la arquitectura del ecosistema dentro de la capa de analítica, junto con Power BI y el Data Warehouse del Tec.
El propio Tec lo reconoce sin dueño: en su listado lo registra con cuatro personas etiquetadas como usuarios, no como administradores. Son Andrés Segura, Erik Sandoval, Victor Tena y Copelia Alvarado. El primero coincide con el responsable técnico ya capturado.
La clasificación de producto es propuesta nuestra, tomada del Data Warehouse del Tec, porque este aplicativo no tiene una asignada.
Hay al menos un tablero en producción, el de precios de colegiatura que usa el área de Inscripciones, y está siendo reemplazado por uno nuevo en Power BI con fecha objetivo del 31 de julio de 2026.
Se marcó no aplica en versión, fin de soporte y ambientes de desarrollo porque es un servicio en la nube sin versiones ni ambientes propios.
El costo en cero está confirmado: la documentación del tablero de colegiaturas dice que no representa costos adicionales. Falta confirmar si hay contratación de la versión de paga.
La información del tablero revisado no está catalogada como confidencial, por eso se clasificó como interna.
Punto a reportar: hay tableros consumiendo datos institucionales sin registro formal ni dueño. Existe además una regla del ecosistema que separa lo transaccional de lo analítico, y esta herramienta no debe consultar directamente los sistemas de operación.</t>
  </si>
  <si>
    <t>0035-TC-002-ERPC</t>
  </si>
  <si>
    <t>Success Factors</t>
  </si>
  <si>
    <t>LMS para encuestas y cursos a instructores; ~5,800 usuarios activos</t>
  </si>
  <si>
    <t>Elva Rivas (elva@tec.mx)</t>
  </si>
  <si>
    <t>Elva Rivas Ledezma, quien gestiona la operación. El soporte técnico institucional se brinda a través del equipo de TI (Tecnologías de Información).</t>
  </si>
  <si>
    <t>rogelio.marquez@tec.mx</t>
  </si>
  <si>
    <t>jcarranz@tec.mx</t>
  </si>
  <si>
    <t>Elva Rivas (elva@tec.mx) — el registro VPAF la marca como quien gestiona la operación, y H18 ya lo dice así</t>
  </si>
  <si>
    <t>saranaomi.espana@tec.mx</t>
  </si>
  <si>
    <t>SAP SuccessFactors</t>
  </si>
  <si>
    <t>No aplica (SaaS institucional sin ambiente accesible a VPAF)</t>
  </si>
  <si>
    <t>No aplica (SaaS con actualización continua del proveedor)</t>
  </si>
  <si>
    <t>Sujeto a contrato institucional SAP; no gestionado por VPAF</t>
  </si>
  <si>
    <t>-Alumnos:5791
-Profesores
-Admin
Actualmente se tienen 5,791 usuarios activos, se tiene limite de 10,000 licencias para todos los usuarios.  
Usuarios nominales identificados en "Aplicaciones Funcionales Vivencia.xlsx" (hoja Hoja1 + hoja Equipo Vivencia), carpeta de evidencia "Evidencia y platicas/Herramientas Vivencia": L03533260 - Hernandez Rodriguez Arlette; L03536134 - Arce Estrada Cristina; L03133597 - Mendoza De Leon Estefania; L03132444 - De la Cruz Ascencio Marcela; L01406546 - Alfredo Ramirez Mejia; L00480574 - Eva Alvarez Sigrist. Esta es informacion adicional/complementaria a la cifra agregada de 5,791 usuarios ya documentada (equipo Vivencia con acceso confirmado a Success Factor para seguimiento al proceso de aprendizaje del aprendedor); no la sustituye.</t>
  </si>
  <si>
    <t>Datos personales de colaboradores e instructores (LFPDPPP). Acceso federado institucional, gestionado por Tec de Monterrey. Contrato y cumplimiento a cargo del área central.</t>
  </si>
  <si>
    <t>LMS para encuestas y cursos a instructores; ~5,800 usuarios activos
Success Factors se usa para encuestas y cursos a instructores. Elva Rivas, Líder de Administración Tecnológica, aparece como administradora y como dueña de los datos en dos fuentes distintas. Su líder es Aramis Arturo Meza Lara.
El acceso es federado y la plataforma la gestiona Tec de Monterrey. Los datos viven en la base de datos de Success Factors.
Contradicción a resolver: el documento de arquitectura dice que opera independiente del sistema académico, pero el inventario de metadatos indica que sus datos se actualizan al actualizar SEA. Hay que aclarar si existe esa conexión. Por ahora se contó una integración.
Guarda datos personales sensibles: género, domicilio, puesto y división organizacional. Por eso se clasificó como confidencial.
La suite tiene otros cinco módulos. Hay que definir si el inventario se refiere solo al de capacitación o a toda la suite.
Está implementado en cuatro instituciones del sistema Tec, pero nuestro alcance es solo Tec de Monterrey.
La wiki no registra responsable de operación. Siguen pendientes costos, ambientes, versión y fechas.</t>
  </si>
  <si>
    <t>0017-HTI-001-LMSC</t>
  </si>
  <si>
    <t>Canvas (ya no se utiliza)</t>
  </si>
  <si>
    <t>LMS principal para programas U4O y U4P; ~4,750 usuarios; integrado con SEA</t>
  </si>
  <si>
    <t>01. Aprendizaje y Enseñanza</t>
  </si>
  <si>
    <t>TL01. Plataformas de Aprendizaje y Evaluación</t>
  </si>
  <si>
    <t>Israel Martínez Frías (israel.martinez@tec.mx)</t>
  </si>
  <si>
    <t>Israel Martínez Frías</t>
  </si>
  <si>
    <t>bsaldivar@tec.mx</t>
  </si>
  <si>
    <t>ctvalenzuela@tec.mx</t>
  </si>
  <si>
    <t>alejandro.ramos@tec.mx</t>
  </si>
  <si>
    <t>Instructure Canvas</t>
  </si>
  <si>
    <t>https://educacioncontinuatec.instructure.com</t>
  </si>
  <si>
    <t>No aplica (SaaS sin ambiente de desarrollo gestionado por VPAF)</t>
  </si>
  <si>
    <t>No aplica (SaaS sin ambiente de preproducción gestionado por VPAF)</t>
  </si>
  <si>
    <t>No aplica (SaaS con actualización continua del proveedor Instructure)</t>
  </si>
  <si>
    <t>Sujeto a contrato con Instructure; pendiente de confirmar con el administrador del contrato</t>
  </si>
  <si>
    <t>4750.0</t>
  </si>
  <si>
    <t>Datos personales y académicos de alumnos (LFPDPPP): matrícula, calificaciones y evidencias de aprendizaje. Plataforma SaaS externa con acuerdo institucional.</t>
  </si>
  <si>
    <t xml:space="preserve">
LMS principal para programas U4O y U4P; ~4,750 usuarios; integrado con SEA
Canvas es la plataforma donde el profesor imparte y evalúa, para los cursos U4P y U4O. Israel Martínez Frías aparece como administrador y dueño de los datos en dos fuentes distintas.
Los datos se almacenan en la nube de Canvas administrada por Instructure. El acceso es por SSO.
Se conecta con el sistema académico, de donde recibe cursos y personas, y con Banner, que provisiona usuarios de forma automática usando el PIDM como identificador.
El paso de calificaciones de regreso al sistema académico lo hace Control Escolar a mano: no hay integración automática. Es una deuda técnica ya reconocida por el Tec.
Hay varias instancias. La dirección que se capturó es la de Educación Continua, cuyo dominio amigable es miformacioncontinua.tec.mx. Existen también tec.instructure.com y experiencia21.tec.mx. Hay que confirmar a cuál se refiere el inventario.
Existe un reporte de licenciamiento dentro de Canvas. De ahí se puede sacar el número real de usuarios activos.
Dato de costo de referencia, de 2019: cada instancia adicional cuesta 1,500 dólares al año. No es el costo total de licenciamiento y hay que actualizarlo.
La wiki no tiene dirección de producción para el módulo principal. El módulo de calificaciones sí: https://admincursos.tec.mx/grades</t>
  </si>
  <si>
    <t>5169-VPA-001-TRXC</t>
  </si>
  <si>
    <t>Cypher Learning</t>
  </si>
  <si>
    <t>LMS para cursos U4O/U4P; ~14,887 asientos; integrado con SEA</t>
  </si>
  <si>
    <t>18. APF Ecosistema Digital</t>
  </si>
  <si>
    <t>ECD03- APF Vivencia y Gestión del Aprendizaje</t>
  </si>
  <si>
    <t>Luis (solo nombre de pila; fuente: Correspondencia_Aplicaciones_APM_vs_Habilitadores.xlsx)
Dato de contrato (Template contratos_11Sep26_V1.xlsx, inventario SAM/HAM en ServiceNow de Uman Amaru Diez Molina, carpeta 'Evidencia y platicas/Uman Diez'): Business Owner registrado = Claudia Arellano Arciga; Vendor = CYPHER LEARNING Inc.; Contract Administrator = Jorge Alberto González López; Approver = Carmen Isabel Reyes Peraza. Pendiente reconciliar con el nombre 'Luis' ya registrado como dueño de negocio desde otra fuente (Correspondencia_Aplicaciones_APM_vs_Habilitadores.xlsx).</t>
  </si>
  <si>
    <t>Israel Martínez Frías.
Contacto adicional confirmado en sesión S-037 (21? 03-sep-2026): Silvino Muñoz Caracas (silvino.munoz@tec.mx).</t>
  </si>
  <si>
    <t>hcolon@tec.mx</t>
  </si>
  <si>
    <t>israel.martinez@tec.mx</t>
  </si>
  <si>
    <t>Cypher Learning (LXP/LMS)</t>
  </si>
  <si>
    <t>https://educacioncontinua.tec.mx/</t>
  </si>
  <si>
    <t>http://tecsandbox.neolms.com/</t>
  </si>
  <si>
    <t>14,887 es un sistema de asientos.</t>
  </si>
  <si>
    <t>LMS para cursos U4O/U4P; ~14,887 asientos; integrado con SEA
Hallazgo sesión S-037 (03-sep-2026): actualmente Cypher Learning opera principalmente mediante cargas manuales; las integraciones con otras plataformas están en proceso de habilitación vía APIs. Forma parte de los 5 aplicativos prioritarios de la iniciativa (junto con PASE, SEA, VTEX/Ecommerce y Portal Unificado).</t>
  </si>
  <si>
    <t>A001-C01-Plataforma de aprendizaje cypher</t>
  </si>
  <si>
    <t>5057-HTI-001-BIPC</t>
  </si>
  <si>
    <t>Qualtrics</t>
  </si>
  <si>
    <t>Encuestas NPS, evaluación de programas e instructores; ~2,500 usuarios</t>
  </si>
  <si>
    <t>Luis (solo nombre de pila; fuente: Correspondencia_Aplicaciones_APM_vs_Habilitadores.xlsx)</t>
  </si>
  <si>
    <t xml:space="preserve">Ricardo Flores </t>
  </si>
  <si>
    <t>meavil@tec.mx</t>
  </si>
  <si>
    <t>mm.morales@tec.mx</t>
  </si>
  <si>
    <t>Qualtrics (SaaS, parcialmente federado)</t>
  </si>
  <si>
    <t>https://itesm.co1.qualtrics.com/</t>
  </si>
  <si>
    <t>Actualmente, alrededor de 2,500</t>
  </si>
  <si>
    <t>SEA (MySQL) ↔ Qualtrics ↔ SharePoint: automatización real documentada "Reporte Módulos Qualtrics v2" (Bizagi Modeler v1.0, autor dora.marquez, 08-abr-2025) — SEA se conecta a Qualtrics con credenciales propias, descarga reporte CSV, lo transforma, actualiza archivo maestro en SharePoint, genera Excel procesado, envía correo a destinatarios y archiva históricos; incluye manejo de errores por correo. Fuente: Repositorio TD-Ecosistema Digital VPAF\Documentos Adicionales\SEA\Documentación Datos\Documentación SEA\Automatizaciones\Documentación funcional\Automatización Reportes de Módulos Qualtrics v2.pdf (hallazgo de la décima séptima pasada, 17-sep-2026).</t>
  </si>
  <si>
    <t>Encuestas NPS, evaluación de programas e instructores; ~2,500 usuarios | Hallazgo 17-sep-2026: existe una automatización real SEA→Qualtrics→SharePoint documentada en Bizagi (ver columna Integraciones #).</t>
  </si>
  <si>
    <t>Encuesta Cliente VEC (posible origen de datos NPS)</t>
  </si>
  <si>
    <t>5170-VPA-001-TRXC</t>
  </si>
  <si>
    <t>Accredible (VEC)</t>
  </si>
  <si>
    <t>Emisión de credenciales y badges digitales para egresados de programas VEC</t>
  </si>
  <si>
    <t>Claudia Arellano (claudia.arellano@tec.mx)</t>
  </si>
  <si>
    <t>Claudia Arellano Arciga, María del Rosario Pérez Sánchez y Cristina Martínez (equipo de escolares).</t>
  </si>
  <si>
    <t>j.leon@tec.mx
DISPUTADO en sesión S-049 (17-sep-2026): Julieta Adriana León López no acepta ser responsable funcional única de Accredible — no administra la plataforma, no tiene acceso administrativo y no define requerimientos para todas las áreas usuarias. Su equipo (Excelencia Académica y Normatividad) solo valida lineamientos institucionales y autoriza cambios normativos para la emisión de documentos. La plataforma es usada de forma independiente por múltiples áreas (Educación para el Desarrollo, Centro de Idiomas, EGADE, entre otras). Responsable Funcional Institucional: pendiente de definir (ver si existe un Product Owner institucional o un esquema compartido entre áreas).</t>
  </si>
  <si>
    <t>rosario_perez@tec.mx
Confirmado en sesión S-049 (17-sep-2026): María del Rosario Pérez Sánchez funge como administradora operativa de Accredible para la VPAF — gestiona configuraciones, usuarios, permisos, grupos, insignias y documentos, sin acceso al código fuente ni a la infraestructura del proveedor (administración técnica, infraestructura y operación base son responsabilidad del proveedor Accredible, naturaleza SaaS).</t>
  </si>
  <si>
    <t>rosario_perez@tec.mx -&gt; se entregará a Uman Diez</t>
  </si>
  <si>
    <t>Accredible (plataforma externa)</t>
  </si>
  <si>
    <t xml:space="preserve">	No aplica (SaaS sin ambiente de desarrollo gestionado por VPAF)</t>
  </si>
  <si>
    <t xml:space="preserve">    No aplica (SaaS sin ambiente de preproducción gestionado por VPAF)</t>
  </si>
  <si>
    <t xml:space="preserve">	Sujeto a contrato con Accredible; pendiente de confirmar con el administrador del contrato</t>
  </si>
  <si>
    <t>1,200 usuarios</t>
  </si>
  <si>
    <t>Datos personales de egresados (LFPDPPP): nombre, matrícula y programa acreditado. Plataforma SaaS externa; credenciales verificables públicamente por diseño.</t>
  </si>
  <si>
    <t>Emisión de credenciales y badges digitales para egresados de programas VEC
Registro VPAF: responsables Claudia Arellano y María del Rosario Pérez. Descripción registrada: "Expedición de credenciales digitales".
CONFLICTO DE DISPOSICIÓN: el registro de arquitectura del Tec (Catálogos ED, hoja 84, corte 01/05/2026) lo marca "En producción" con estrategia "Mantener", mientras este inventario captura "Migrate". Pendiente de resolver con Arturo.
El mismo registro clasifica su confidencialidad como Estándar; aquí se captura Confidential por tratarse de datos de egresados con matrícula. Se sostiene el criterio más restrictivo.
La wiki del Tec lo lista con institución "Aprendizaje para el futuro" y estatus "Por implementar", lo que contradice el "En producción" del catálogo de arquitectura. Validar cuál es el estado vigente.
Dato de contrato (Template contratos_11Sep26_V1.xlsx): Vendor = EdInvent, Inc., dba Accredible; Contract Administrator = Jorge Alberto González López; Approver = Carmen Isabel Reyes Peraza.</t>
  </si>
  <si>
    <t>DIR-008 - Mis insignias - Portal-Accredible</t>
  </si>
  <si>
    <t>5086-HTI-001-TRXC</t>
  </si>
  <si>
    <t>Formulario U4O</t>
  </si>
  <si>
    <t>Registro y pago para maestrías y diplomados; integra SEA y Salesforce</t>
  </si>
  <si>
    <t>03. Facultad</t>
  </si>
  <si>
    <t>FAC02. Desarrollo de Facultad</t>
  </si>
  <si>
    <t>Proveedor externo: responsable  del soporte técnico.
María del Rosario Pérez: administra contenido y estructura del formulario. / Gama Logistica</t>
  </si>
  <si>
    <t>Larisa Díaz y Ana Karen Jimenez</t>
  </si>
  <si>
    <t>Rosario Perez</t>
  </si>
  <si>
    <t>Rosario Perez / Gama Logistica</t>
  </si>
  <si>
    <t>Proveedor externo (web propietaria)</t>
  </si>
  <si>
    <t>https://apps.powerapps.com/play/e/90c43019-1fbe-42ac-95f3-6b777a4cb3a5/a/ff1774e7-0984-48a2-a113-b3812552f586?tenantId=c65a3ea6-0f7c-400b-8934-5a6dc1705645&amp;hint=82fc623d-61c4-4a5a-93e2-48e8edb99d50&amp;sourcetime=1753399355042</t>
  </si>
  <si>
    <t>https://apps.powerapps.com/play/e/ffa54977-61ce-49a1-b018-648e027b3954/a/5daa3046-8ec8-40b5-855b-c6f0ce2d3c3e?tenantId=c65a3ea6-0f7c-400b-8934-5a6dc1705645&amp;hint=5656ca9d-cbe0-415c-9662-9b95db11083c&amp;sourcetime=1753399384248</t>
  </si>
  <si>
    <t>El resultado global muestra un total de 31,699 registros, de los cuales 28,330 corresponden a registros únicos dentro del período analizado.
Desglosado por año:
-Año 2025: 22,777 registros totales y 20,294 registros únicos en el período.
-Año 2024: 8,922 registros totales y 8,423 registros únicos en el período.</t>
  </si>
  <si>
    <t>Solicitud de Inscripción SF - SEA (integración Salesforce-SEA)</t>
  </si>
  <si>
    <t>Portal de registro y pago</t>
  </si>
  <si>
    <t>Registro y pago de participantes externos; aprovisiona a SEA</t>
  </si>
  <si>
    <t>Bryan Moreno (externo) la empresa es Gama Logistica - proveedor Ernesto Martinez
Sesión S-050 (17-sep-2026): se identificó a María del Rosario Pérez Sánchez como posible responsable técnica, pendiente de validación formal — dato distinto al ya registrado (Bryan Moreno / Gama Logística); queda como discrepancia sin resolver hasta validación formal con el equipo.</t>
  </si>
  <si>
    <t>Ricardo Lopez
Sesión S-050 (17-sep-2026): Ricardo López Strozzi (lopez.ricardo@tec.mx) identificado como responsable funcional principal, pendiente de validación formal.</t>
  </si>
  <si>
    <t>rosario_perez@tec.mx</t>
  </si>
  <si>
    <t>rosario_perez@tec.mx / Gama Logistica
Operación diaria confirmada en sesión S-050 (17-sep-2026): ambiente PPRD a cargo de Marco Gerardo Chavira Pérez; Producción a cargo de Ernesto Martínez Arriaga. Soporte especializado: proveedor del habilitador (Gama Logística). No existe una gran cantidad de usuarios administrando el Portal — solo estas dos personas tienen acceso operativo directo.</t>
  </si>
  <si>
    <t>rosario_perez@tec.mx / Gama Logistica</t>
  </si>
  <si>
    <t>Proveedor externo (web custom)</t>
  </si>
  <si>
    <t>Cloud-SaaS
Infraestructura confirmada (Diagrama de infraestructura.drawio, carpeta 'Evidencia y platicas/Portal Registro y Pagos'): AWS Cloud para el Portal de registro y Pago (unidades de cómputo separadas Producción/Desarrollo; autenticación con servicios externos Facebook y Gmail; Cron jobs; 2 bases de datos MySQL), conectado vía Internet al lado de SEA en Azure Cloud (unidad de cómputo Producción, depende de Salesforce; base de datos MariaDB).</t>
  </si>
  <si>
    <t>Proveedor externo (web custom)
Servicios externos identificados en el mismo diagrama: Tec.Pay (pasarela de cobros interna de la institución; depende internamente de Salesforce, OpenPay y Flywire) y un sistema "Middleware" interno desarrollado por el equipo del TEC que ejecuta flujos de trabajo en HubSpot para las notificaciones por correo (recordatorio de inscripción y generación de factura, ambos disparados por Cron).</t>
  </si>
  <si>
    <t>checkout.tec.mx (mencionado como origen del flujo de pago en los diagramas de secuencia de compra y venta: 'Portal: checkout.tec.mx - solicitudId/origenConexion'). No se confirmó si es la URL pública completa del propio Portal de Registro y Pago o solo del paso de checkout.
Confirmado por los diagramas de secuencia reales (Diagrama de secuencia - SEA/ECOMMERCE/EGADE/CEDIAM.txt, mismo folder): checkout.tec.mx SÍ es el paso de checkout/pago del flujo ("Portal: checkout.tec.mx - solicitudId/origenConexion"), usado tanto por el flujo directo de e-commerce como por los flujos asistidos por asesor de SEA y EGADE, vía APIs Gama Logística → Tec.Pay → SEA.</t>
  </si>
  <si>
    <t>El análisis global muestra un total de 139,381 registros, de los cuales 117,788 son únicos, lo que representa un 15% de registros duplicados.
Desglosado por año:
-2025: 26,252 registros totales, 23,870 únicos y 9% duplicados.
-2024: 27,884 registros totales, 25,537 únicos y 8% duplicados.
-2023: 24,092 registros totales, 21,719 únicos y 10% duplicados.
-2022: 24,317 registros totales, 22,367 únicos y 8% duplicados.
-2021: 21,674 registros totales, 19,978 únicos y 8% duplicados.
-2020: 13,655 registros totales, 12,225 únicos y 10% duplicados.
-2019: 1,507 registros totales, 1,355 únicos y 10% duplicados.</t>
  </si>
  <si>
    <t>3 confirmadas por diagrama de flujo (Bizagi, "Sincronización con portal de registro y pago", autor Israel Romero, v1.0, abr-2026): (1) SEA — creación y publicación de programas, sincronización bidireccional; (2) TLG — consulta horaria de alumnos ("cada hora"); (3) Salesforce — como parte del flujo de venta (Página de maestrías / oferta). No se localizó documentación de integración con VTEX para este habilitador específico.
Endpoints reales confirmados por los diagramas de secuencia (mermaid, carpeta 'Evidencia y platicas/Portal Registro y Pagos'): registro/checaExisteEmail, registro/checaBeca, participantes/guardar-usuario, educacionejecutiva/itesm/json/checkusuario, educacionejecutiva/itesm/json/verificarCupo, educacionejecutiva/itesm/json/guardarSolicitud, educacionejecutiva/itesm/json/guardarPago, checkout/regreso_a_tienda (webhook "aviso_transaccion" de Tec.Pay). Además existen 2 canales alternos de adquisición EN ANÁLISIS/DISEÑO (no confirmados en producción): (1) Shopify — requeriría un WebHook nuevo hacia SEA y decidir entre la pasarela propia de Shopify (cobra comisión) o integrar Tec.Pay vía un intermediario del proveedor (Merlioni); (2) VTEX Marketec — ya cuenta con pasarela propia equivalente a Tec.Pay y comunica directamente a Salesforce/Banner, con TEC Milenio como ejemplo de implementación de referencia.</t>
  </si>
  <si>
    <t>5145-HTI-001-TRXC</t>
  </si>
  <si>
    <t>Página de oferta VEC</t>
  </si>
  <si>
    <t>Sitio público con oferta educativa (diplomados, certificaciones, maestrías)</t>
  </si>
  <si>
    <t>Carlos Franco (cfrancor@tec.mx) — el registro VPAF lo marca como responsable de "Página de oferta"</t>
  </si>
  <si>
    <t>Tanto interno como proveedor (Carlos Alberto Martínez)</t>
  </si>
  <si>
    <t>cfrancor@tec.mx</t>
  </si>
  <si>
    <t>carlos.msam@tec.mx</t>
  </si>
  <si>
    <t>Ruby on Rails (proveedor externo)</t>
  </si>
  <si>
    <t>https://maestriasydiplomados.tec.mx</t>
  </si>
  <si>
    <t xml:space="preserve">	2027-11-29</t>
  </si>
  <si>
    <t>No se tiene el volumen de usuarios ya que no tienen acceso</t>
  </si>
  <si>
    <t>Public</t>
  </si>
  <si>
    <t>Sitio público sin autenticación ni captura de datos personales. Contenido de oferta educativa sujeto a lineamientos de marca institucional.</t>
  </si>
  <si>
    <t>Sitio público con oferta educativa (diplomados, certificaciones, maestrías)
Registro VPAF: responsable Carlos Franco (cfrancor@tec.mx). Descripción registrada: "Sitio público con oferta educativa VEC", sin login.
CONFLICTO DE DISPOSICIÓN: el catálogo de arquitectura del Tec (Catálogos ED, hoja 84) registra el "Portal de Mestrias y Diplomados" con estrategia "Eliminar", ajuste de negocio Malo y ajuste de TI Malo, mientras este inventario captura "Invest" con ST 4. Pendiente de resolver con Arturo.
Vigencia documentada hasta el 29/11/2027. El Portal Unificado lo reemplaza (Go Live octubre 2026) y el Portal de Compra y Pago asociado vence el 13/10/2026.
Integra Algolia como motor de búsqueda del portal.
Confianza de correspondencia Media-Alta con el habilitador 5145-HTI-001-TRXC: requiere validación con el Tec antes de darlo por bueno.
Responsable de soporte pendiente: no aparece en la wiki ni en el registro VPAF.
⚠ Verificar: ID Habilitador también asignado a fila 26 ("Programa Educación Continua (MiTec)").</t>
  </si>
  <si>
    <t>Flujo de búsqueda de productos (Página de oferta integra Algolia, según Notas)</t>
  </si>
  <si>
    <t>Programa Educación Continua (MiTec)</t>
  </si>
  <si>
    <t>Conexión con maestrías y diplomados desde portal institucional MiTec</t>
  </si>
  <si>
    <t>Claudia Arellano Arciga</t>
  </si>
  <si>
    <t>Frontend integrado a MiTec (Azure)</t>
  </si>
  <si>
    <t>No aplica ya que solo los usuarios entran y se dirigen a las opciones que les interesa consultar</t>
  </si>
  <si>
    <t>Conexión con maestrías y diplomados desde portal institucional MiTec
⚠ Verificar: ID Habilitador también asignado a fila 25 ("Página de oferta VEC").</t>
  </si>
  <si>
    <t>5138-HTI-001-TRXC</t>
  </si>
  <si>
    <t>DED (portales VEC)</t>
  </si>
  <si>
    <t>Cuatro portales para Educación para el Desarrollo: registro, pago y entrega de contenidos</t>
  </si>
  <si>
    <t>ATV04. Gestión de la Oferta</t>
  </si>
  <si>
    <t>Daniela de la Rosa (líder de proyecto) — así aparece en el registro VPAF</t>
  </si>
  <si>
    <t>Equipo DED
Neotek (soporte Drupal) - Dev Team Head Bryan Moreno</t>
  </si>
  <si>
    <t>Karina Martinez</t>
  </si>
  <si>
    <t>Neotek (soporte Drupal)</t>
  </si>
  <si>
    <t>Drupal</t>
  </si>
  <si>
    <t>Drupal (proveedor Neotec) + sitios reconstruidos</t>
  </si>
  <si>
    <t>https://www.centroscomunitariosdeaprendizaje.org.mx; https://www.formandoformadores.org.mx; https://www.aprendizajeverde.net</t>
  </si>
  <si>
    <t>CVA desde 2010 / FF desde 2015 / AV desde 2012</t>
  </si>
  <si>
    <t>CVA ~710,000 / FF 42,250 / AV 35,350 / Más Sociedad sin usuarios</t>
  </si>
  <si>
    <t>Datos personales de participantes (LFPDPPP) y datos de pago. Portales públicos con registro. Desarrollo y soporte a cargo de proveedor externo (Neotek): aplica cláusula de tratamiento de datos por terceros.</t>
  </si>
  <si>
    <t>Cuatro portales para Educación para el Desarrollo: registro, pago y entrega de contenidos
Registro VPAF: Daniela de la Rosa (líder de proyecto) y Jesús Alejandro Medina (técnico). Proveedor externo Neotek. El registro también lista "Superate" como ecosistema educativo en línea de la Dirección de Educación para el Desarrollo, con ~150 usuarios internos mensuales y 30-40k externos mensuales.
El Centro Virtual de Aprendizaje aparece en VPAF con 1,200,000 usuarios históricos, consistente con los ~710,000 capturados aquí para CVA.
DISCREPANCIA DE ALCANCE: este renglón declara cuatro portales, pero en la wiki del Tec solo se localizaron tres bajo el habilitador 5138-HTI-001-TRXC. El cuarto ("Más Sociedad") aparece aquí sin usuarios registrados. Validar con el Tec si forma parte del mismo habilitador o si debe registrarse aparte.
La clasificación de datos y las etiquetas de cumplimiento aplican al conjunto de portales; el tratamiento de datos personales está delegado a proveedor externo.
⚠ Nota v16: se descartó el vínculo a la carpeta "Presentaciones de avance DED" — es coincidencia de siglas (gobierno del proyecto Ecosistema Digital), no documentación de este aplicativo (Educación para el Desarrollo).</t>
  </si>
  <si>
    <t>0470-HTI-001-TRXC</t>
  </si>
  <si>
    <t>Marketplace de Talento</t>
  </si>
  <si>
    <t>Conecta a prospectos egresados con empleadores</t>
  </si>
  <si>
    <t>Graduway</t>
  </si>
  <si>
    <t> </t>
  </si>
  <si>
    <t>Eliminate</t>
  </si>
  <si>
    <t>5147-HTI-001-TRXC</t>
  </si>
  <si>
    <t>Marketplace de Socios Formadores</t>
  </si>
  <si>
    <t>daniel_ayala@tec.mx</t>
  </si>
  <si>
    <t>gerardo.suarez@tec.mx</t>
  </si>
  <si>
    <t>mariano_uriostegui@tec.mx</t>
  </si>
  <si>
    <t>Node.js;#8;#Java;#9</t>
  </si>
  <si>
    <t>https://www.mpstec.mx/</t>
  </si>
  <si>
    <t>Plataforma para conectar ácademicos con Socios Formadores para colaborar en proyectos.</t>
  </si>
  <si>
    <t>0222-HTI-010-SISO</t>
  </si>
  <si>
    <t>GURJOBS</t>
  </si>
  <si>
    <t>Keycloak + Azure</t>
  </si>
  <si>
    <t>Keycloak + Azure (auth)</t>
  </si>
  <si>
    <t>$0</t>
  </si>
  <si>
    <t>Migrate</t>
  </si>
  <si>
    <t>Nimbi</t>
  </si>
  <si>
    <t>Seguimiento de participantes y análisis predictivo de aprendizaje; ~75K usuarios</t>
  </si>
  <si>
    <t>erika.carrizales@tec.mx</t>
  </si>
  <si>
    <t>antoniovillanueva_844@tec.mx</t>
  </si>
  <si>
    <t>Proveedor Lapzo
Vendor confirmado: NIMBI SPA (Template contratos_11Sep26_V1.xlsx). Contract Administrator / Business Owner registrado en el contrato: Erika Carrizales Ovalle — coincide con el Responsable de implementación ya registrado (erika.carrizales@tec.mx).</t>
  </si>
  <si>
    <t>Proveedor Lapzo (LXP/LMS)</t>
  </si>
  <si>
    <t>La plataforma cuenta con alrededor de 75,000 usuarios registrados, incluyendo participantes activos en cursos y programas gratuitos o comerciales.
Usuarios reales identificados (Aplicaciones Funcionales Vivencia.xlsx, hoja 'Equipo Vivencia', carpeta 'Evidencia y platicas/Herramientas Vivencia'): L03529466 Villarino Rivera Jesus Francisco, L03567793 Herrera Alvarez Luis Roberto, L01406546 Alfredo Israel Ramírez Mejía, L03572358 Paola Figueroa Islas — uso: gestión de atención a aprendedores y seguimiento a entregables. Nota: la cifra de ~75,000 usuarios ya registrada en esta misma celda coincide textualmente con la de TLG Lapzo (fila #30); posible error de captura de una pasada anterior — se deja señalado, sin corregir por no tener evidencia propia de Nimbi que lo sustente.</t>
  </si>
  <si>
    <t>TLG</t>
  </si>
  <si>
    <t>1Mentor (validar porque se usaba pero ya no se esta utilizando)* preguntar a Erika/Héctor Colón</t>
  </si>
  <si>
    <t>Diagnóstico de competencias laborales; ~5,000 usuarios externos mensuales</t>
  </si>
  <si>
    <t>1Mentor</t>
  </si>
  <si>
    <t>1Mentor (SaaS)</t>
  </si>
  <si>
    <t>5068-UTM-001-TRXC</t>
  </si>
  <si>
    <t>Mentorcloud</t>
  </si>
  <si>
    <t>Creación y gestión de mentorías entre expertos y aprendedores</t>
  </si>
  <si>
    <t>PIVOTEA</t>
  </si>
  <si>
    <t>rosario_perez@tec.mx (debería de ser Silvino Muñoz)</t>
  </si>
  <si>
    <t>caro_martinez@tec.mx / Octavio Acosta</t>
  </si>
  <si>
    <t>TBD al habilitarse sería Uman Diez</t>
  </si>
  <si>
    <t>Node.js;#8</t>
  </si>
  <si>
    <t>https://pivotea.tecmilab.com.mx/</t>
  </si>
  <si>
    <t>Circle</t>
  </si>
  <si>
    <t>Comunidad social de TLG; ~50K usuarios histórico (2022-2025)</t>
  </si>
  <si>
    <t>Silvino Muñoz (Lapzo) — responsable técnico a nivel ecosistema TLG</t>
  </si>
  <si>
    <t>Isabel Ferguson</t>
  </si>
  <si>
    <t>Circle.so</t>
  </si>
  <si>
    <t>Circle.so (SaaS)</t>
  </si>
  <si>
    <t>TLG Lapzo</t>
  </si>
  <si>
    <t>LMS principal de TLG; entrega de cursos con vigencia</t>
  </si>
  <si>
    <t>Dentro del equipo administrador se encuentran Erika Carrizales Ovalle y Héctor Alfonso Colón Alvarez, el soporte técnico recae en Silvino Muñoz y en Lapzo como proveedor responsable de la operación y mantenimiento general.</t>
  </si>
  <si>
    <t>Lapzo</t>
  </si>
  <si>
    <t>Firebase + infraestructura Google (proveedor Lapzo)</t>
  </si>
  <si>
    <t>La plataforma cuenta con alrededor de 75,000 usuarios registrados, incluyendo participantes activos en cursos y programas gratuitos o comerciales.
Usuarios reales identificados (Aplicaciones Funcionales Vivencia.xlsx, hoja 'Equipo Vivencia'): L01137166 Garcia Gonzalez Ana Lucia, L03063022 Valle Rodriguez Maria Del Carmen, L03529466 Villarino Rivera Jesus Francisco, L03567793 Herrera Alvarez Luis Roberto, L01406546 Alfredo Israel Ramírez Mejía, L03572358 Paola Figueroa Islas.</t>
  </si>
  <si>
    <t>1 confirmada: GI-001 TLG (LXP) → Service Bus (Pulsar) — evento asíncrono "module.completed" (curso completado, promedio &gt;70) que dispara el flujo de generación de insignias (GI-001→GI-006, incluye Accredible y MDM/OpenText). Fuente: GI-001_Cypher-TLG_Pulsar.docx. La carpeta dedicada "DIR-017 - Portal-TLG (Mi Aprendizaje)" existe en el repositorio pero está vacía (sin ficha de integración construida aún).</t>
  </si>
  <si>
    <t>LMS principal de TLG; entrega de cursos con vigencia
Dato de contrato (Template contratos_11Sep26_V1.xlsx): Vendor = DECASOL, SA DE CV (Lapzo); Business Owner = Héctor Alfonso Colón Alvarez — coincide con el Responsable funcional ya registrado (hcolon@tec.mx); Contract Administrator = Jorge Alberto González López.</t>
  </si>
  <si>
    <t>DIR-017 - Portal-TLG (Mi Aprendizaje)</t>
  </si>
  <si>
    <t>Mylearning.tec.mx</t>
  </si>
  <si>
    <t>Sitio público con oferta educativa de TLG</t>
  </si>
  <si>
    <t>Sitio público (sin login)</t>
  </si>
  <si>
    <t>Plataforma Web Clínicas</t>
  </si>
  <si>
    <t>Sitio público de venta de productos educativos (campamentos, academias, Club Borregos); incluye datos de menores</t>
  </si>
  <si>
    <t>Nini Johana Otero Salas (administradora de la plataforma)
Ricardo González (Salesforce admin)
Lili Mared Ricárdez Vázquez (configuración de formularios y página web)
Fernando Matehuala (gestión de licencias Power BI)</t>
  </si>
  <si>
    <t>Salesforce + Fonteva (módulo de ventas)</t>
  </si>
  <si>
    <t>Al tratarse de una plataforma web, no se cuenta con un estimado de usuarios activos ya que no se necesita ingresar con un usuario</t>
  </si>
  <si>
    <t>VED</t>
  </si>
  <si>
    <t>0027-HTI-012-CRMC</t>
  </si>
  <si>
    <t>Fonteva (Validar con Ricardo Araujo)</t>
  </si>
  <si>
    <t>Módulo de gestión de productos y ventas en línea (Campamentos, Eventos)</t>
  </si>
  <si>
    <t>HT04. Salesforce</t>
  </si>
  <si>
    <t>ricardo.araujo@tec.mx</t>
  </si>
  <si>
    <t>-</t>
  </si>
  <si>
    <t>Fonteva sobre Salesforce (federado)</t>
  </si>
  <si>
    <t>Se cuenta con 6 usuarios administradores de la plataforma</t>
  </si>
  <si>
    <t>3023-HTI-001-WWW</t>
  </si>
  <si>
    <t>Plataforma Web Centro de Idiomas (Validar con Maria Eugenia Gonzalez)</t>
  </si>
  <si>
    <t>Sitio de inscripción y gestión académica para cursos de idiomas</t>
  </si>
  <si>
    <t>Arturo Hernández (interlocutor técnico, director tecnico de cento de idiomas)
Andrea Piccolo (Softian, desarrollo externo)</t>
  </si>
  <si>
    <t>gabygomez74@tec.mx</t>
  </si>
  <si>
    <t>omar.jimenez@tec.mx</t>
  </si>
  <si>
    <t>Softian</t>
  </si>
  <si>
    <t>Sistema SICI (proveedor Softian)</t>
  </si>
  <si>
    <t>http://tec.territorio.la/</t>
  </si>
  <si>
    <t>No se tiene registros de cuánta gente visita la páginas
Número de usuarios administradores 46</t>
  </si>
  <si>
    <t>Sistema de Inscripción Centro de Idiomas</t>
  </si>
  <si>
    <t>Plataforma web autónoma para gestión de inscripciones del Centro de Idiomas; trata información personal, académica, médica y administrativa</t>
  </si>
  <si>
    <t>El soporte técnico y desarrollo están a cargo de Softian, representado por Andrea Piccolo. La administración operativa y comunicación institucional las coordina Arturo Hernández desde el Centro de Idiomas.</t>
  </si>
  <si>
    <t>Softian (web propietaria)</t>
  </si>
  <si>
    <t>Falta información específica sobre la cantidad de usuarios activos, sin embargo, se menciona que todos los campus del TEC utilizan el sistema desde 2023, lo que implica una cobertura nacional de alumnos, profesores y personal administrativo.
Volumen promedio de usuarios por semestre es de 400 usuarios pudiendo llegar a los 900 anuales.</t>
  </si>
  <si>
    <t>0490-HTI-001-TRXC</t>
  </si>
  <si>
    <t>Market Tec (preguntar con Lulu Ayala)</t>
  </si>
  <si>
    <t>Motor de pagos conectado al Centro de Idiomas y otros canales</t>
  </si>
  <si>
    <t>FNC02. Facturación</t>
  </si>
  <si>
    <t>Brayan (solo nombre de pila; fuente: Correspondencia_Aplicaciones_APM_vs_Habilitadores.xlsx)</t>
  </si>
  <si>
    <t>saul.zermeno@tec.mx</t>
  </si>
  <si>
    <t>fmoreira@tec.mx</t>
  </si>
  <si>
    <t>Motor de pagos en línea (federado)</t>
  </si>
  <si>
    <t>https://market.tec.mx/login?samltec</t>
  </si>
  <si>
    <t>No aplica (SaaS sin ambientes gestionados por VPAF)</t>
  </si>
  <si>
    <t xml:space="preserve">	Sujeto a contrato del servicio de pagos; pendiente de confirmar</t>
  </si>
  <si>
    <t>Datos de pago y transacción. Autenticación federada institucional vía SAML. Aplican requisitos de seguridad en medios de pago y LFPDPPP.</t>
  </si>
  <si>
    <t>Motor de pagos conectado al Centro de Idiomas y otros canales
⚠ Verificar: ID Habilitador también asignado a fila 52 ("VTEX").
Autenticación federada institucional mediante SAML, confirmada por la URL de producción (market.tec.mx/login?samltec).
Cadena de responsables completa y diferenciada: técnico e implementación jebreyes@tec.mx, funcional saul.zermeno@tec.mx, operación fmoreira@tec.mx, soporte colivar@tec.mx.
Dueño de negocio (Product Owner) sin asignar: pendiente de definir.
El campo Ecosistema registra "VED"; el resto de los aplicativos del mismo ecosistema registran "VEC". Probable error de captura, no sobrescrito pendiente de validación.
Conflicto de consistencia: disposición Migrate con Criticidad High y VN 4, sobre una plataforma SaaS federada sin deuda técnica documentada. Requiere revisar el sustento de la disposición o el puntaje ST.</t>
  </si>
  <si>
    <t>Yalo</t>
  </si>
  <si>
    <t>Canal conversacional WhatsApp para atención al aprendedor y prospecto</t>
  </si>
  <si>
    <t>Blanca Mata (confirmar)</t>
  </si>
  <si>
    <t>Yalo (plataforma conversacional WhatsApp)</t>
  </si>
  <si>
    <t>Transversal</t>
  </si>
  <si>
    <t>0027-HTI-018-CRMC</t>
  </si>
  <si>
    <t>Tuvis</t>
  </si>
  <si>
    <t>Bridge entre WhatsApp/Yalo y Salesforce para trazabilidad comercial</t>
  </si>
  <si>
    <t>Juan (solo nombre de pila; fuente: Correspondencia_Aplicaciones_APM_vs_Habilitadores.xlsx)</t>
  </si>
  <si>
    <t>G Garcia Sigg</t>
  </si>
  <si>
    <t>blancamata@tec.mx</t>
  </si>
  <si>
    <t>g.garcia.sigg@tec.mx</t>
  </si>
  <si>
    <t>aaron.urbina@tec.mx</t>
  </si>
  <si>
    <t>orlando.salinas@tec.mx</t>
  </si>
  <si>
    <t>Tuvis (mensajería integrada Salesforce)</t>
  </si>
  <si>
    <t>https://micrmtec.lightning.force.com/lightning</t>
  </si>
  <si>
    <t>5153-VPA-001-TRXC</t>
  </si>
  <si>
    <t>Pulsar</t>
  </si>
  <si>
    <t>Bus de eventos y mensajería para personalización, recomendaciones y orquestación entre habilitadores</t>
  </si>
  <si>
    <t>ctvalenzuela@tec.mx -&gt; se pasará a Uman Diez</t>
  </si>
  <si>
    <t>Apache Pulsar (mensajería de eventos)</t>
  </si>
  <si>
    <t>Suspended</t>
  </si>
  <si>
    <t>9 hops documentados como transportador/orquestador: SEA↔Pulsar (SPD-001, SOE-001/003, SPV-001), Pulsar→Drupal (SPD-002, upsert JSON:API de programas), Pulsar→Salesforce (SOE-002/004, upsert Account y Program Plan), Pulsar→VTEX (SPV-002/003/004/005/006, Catalog + Pricing API), Pulsar↔Accredible (GI-004, emisión de badges), Pulsar→MDM/OpenText (GI-003, pendiente de definición de API), Pulsar→Portal Unificado (GI-005), LXP(Cypher/TLG)→Pulsar (GI-001, evento asíncrono). Fuente: carpetas Integraciones/MVP1/Flujo de actualización de programas y Acreditación y credencialización.</t>
  </si>
  <si>
    <t>Flujo de actualización de programas (JOB-012 SEA-Pulsar-*)</t>
  </si>
  <si>
    <t>Algolia</t>
  </si>
  <si>
    <t>Motor de búsqueda para oferta y contenidos en portales VPAF</t>
  </si>
  <si>
    <t>Algolia (motor de búsqueda)</t>
  </si>
  <si>
    <t>Flujo de búsqueda de productos (incluye DIR-011 Portal-Search Bar)</t>
  </si>
  <si>
    <t>0253-HTI-001-BOTC</t>
  </si>
  <si>
    <t>TEC.bot</t>
  </si>
  <si>
    <t>Asistente virtual del Portal Unificado; tratamiento automatizado</t>
  </si>
  <si>
    <t>09. Inteligencia Artificial</t>
  </si>
  <si>
    <t>AI01. TEC.bot</t>
  </si>
  <si>
    <t>gilberto.bastidas@tec.mx</t>
  </si>
  <si>
    <t>rrico@tec.mx (Sugerencia Miguel Burgoin)
t-romangonzalez@itesm.mx
CORRECCIÓN IMPORTANTE (sesión S-047, 15-sep-2026, posterior a S-046): se confirmó que "TEC.bot" (este habilitador institucional, registrado en este inventario, responsable histórico Manuel Terán) y "TEC 360 (Agente 360)" (proyecto nuevo liderado por Rafael Rico Camacho, con infraestructura y arquitectura propias) son DOS HABILITADORES DISTINTOS, aunque comparten antecedentes y tecnología similar y la denominación "TEC Bot" se sigue usando de forma informal para ambos. La sugerencia de la sesión anterior (S-046, 14-sep-2026) de cambiar el responsable técnico de este habilitador a Rafael Rico Camacho correspondía en realidad al proyecto TEC 360, NO a este TEC.bot institucional — no debe aplicarse ese cambio aquí. Responsable técnico institucional confirmado de TEC.bot: Manuel Terán. Se mantiene sin cambio la referencia previa a Thia Román González (t-romangonzalez@itesm.mx).</t>
  </si>
  <si>
    <t>Miguel Burgoin / Rafa Velez
Confirmado en sesión S-046 (14-sep-2026): Miguel Ángel Burgoin Carrera (miguel.burgoin@tec.mx) es el usuario funcional principal y Gerente de Producto de TEC.bot (requerimientos, prioridades funcionales, pruebas, base de conocimiento) — no es el dueño técnico de la plataforma.</t>
  </si>
  <si>
    <t>rrico@tec.mx</t>
  </si>
  <si>
    <t>Uman Diez</t>
  </si>
  <si>
    <t>Agente conversacional con IA generativa
Desarrollo de este habilitador a cargo del proveedor Movit (confirmado en sesión S-046, 14-sep-2026).</t>
  </si>
  <si>
    <t>Agente conversacional con IA generativa</t>
  </si>
  <si>
    <t>Active
Confirmado en sesión S-046 (14-sep-2026): TEC.bot aún se encuentra en fase de construcción y NO opera en producción; se esperaba, a esa fecha, comenzar a visualizarse en ambientes de prueba aproximadamente un mes después. Desarrollo a cargo del proveedor Movit — pendiente validar con Movit la documentación técnica/funcional contemplada en los entregables del proyecto.</t>
  </si>
  <si>
    <t>2 confirmadas: (1) INT-R2-001 Portal Único ↔ TEC.bot — inicialización del widget vía Direct Line Token, bidireccional; (2) INT-R2-002 TEC.bot → ServiceNow — creación de ticket (Table API REST) como único mecanismo de escalación cuando el árbol de decisiones no resuelve la solicitud (nivel N0). Fuente: carpeta "Agente conversacional tecbot - Flujo de soporte a usuarios".</t>
  </si>
  <si>
    <t>Agente conversacional tecbot - Flujo de soporte a usuarios</t>
  </si>
  <si>
    <t>Buscador / Search Bar</t>
  </si>
  <si>
    <t>Experiencia de búsqueda unificada en Portal Unificado</t>
  </si>
  <si>
    <t>Frontend de búsqueda (integra Algolia y TEC.gpt)</t>
  </si>
  <si>
    <t>Experiencia de búsqueda unificada en Portal Unificado
⚠ Verificar: ID Habilitador también asignado a fila 10 ("Sistema de Rúbricas / Perfilador").</t>
  </si>
  <si>
    <t>DIR-011 - Portal-Search Bar</t>
  </si>
  <si>
    <t>0530-HTI-001-DWPC</t>
  </si>
  <si>
    <t>Portal Unificado</t>
  </si>
  <si>
    <t>Front único del aprendedor; orquesta navegación entre habilitadores</t>
  </si>
  <si>
    <t>11. Distribución Digital</t>
  </si>
  <si>
    <t>DD01. TEC.portal</t>
  </si>
  <si>
    <t>jirodrig@tec.mx</t>
  </si>
  <si>
    <t>jdcantu@tec.mx</t>
  </si>
  <si>
    <t>Diana Dolores Morón González (diana.moron@tec.mx) — contacto principal identificado del lado del Portal en la sesión de contexto S-038 (04/09/2026). Pendiente confirmar si corresponde formalmente al rol de Responsable de operación o a otro rol (funcional/negocio).</t>
  </si>
  <si>
    <t>Arturo Rodríguez (Líder de Soporte — OLA "CMS Drupal – Portal Unificado", 17-ago-2026)</t>
  </si>
  <si>
    <t xml:space="preserve">Drupal </t>
  </si>
  <si>
    <t>Frontend (Next.js) + Drupal CMS</t>
  </si>
  <si>
    <t>https://wa-pprd-portal-next-front.azurewebsites.net/ (verificación del portal en ambiente de Calidad/QA — OLA "CMS Drupal – Portal Unificado", 17-ago-2026)</t>
  </si>
  <si>
    <t>Sin información
Pendiente de compartir (sesión S-038, 04-sep-2026): las carpetas "Moto Support" y "Moto Operation" utilizadas actualmente por el equipo del Portal, referidas por Erika Ortiz Hernández (Consultor Externo ectotec) como fuente adicional de documentación operativa.</t>
  </si>
  <si>
    <t>Integración Portal-Drupal - DIR-000</t>
  </si>
  <si>
    <t>0601-HTI-003-DWPC</t>
  </si>
  <si>
    <t>Drupal CMS</t>
  </si>
  <si>
    <t>CMS para contenidos del Portal Unificado y sitios institucionales</t>
  </si>
  <si>
    <t>DD03. TEC.sites</t>
  </si>
  <si>
    <t>Diana Morón — PO citada en integración Drupal CMS → Portal</t>
  </si>
  <si>
    <t>Bernardo Duran</t>
  </si>
  <si>
    <t>rafael.velez@tec.mx / cfrancor@tec.mx</t>
  </si>
  <si>
    <t>Diana Morón</t>
  </si>
  <si>
    <t>Drupal (gestión central Tec)</t>
  </si>
  <si>
    <t>https://test-cms.tec360.com/ (ambiente de Calidad/QA del CMS, acceso protegido por VPN TEC obligatoria — OLA "CMS Drupal – Portal Unificado", 17-ago-2026)</t>
  </si>
  <si>
    <t>2 confirmadas: (1) INT-R1-001 Drupal → BFF del Portal Unificado (GraphQL, read-only, contenido editorial: cursos, páginas institucionales, banners); (2) SPD-002 Pulsar → Drupal (JSON:API, upsert de nodo "programa" por sincronización con SEA vía SPD-001). Fuente: carpetas "Integración Portal-Drupal - DIR-000" y "JOB-012 - SEA-Pulsar-Drupal".</t>
  </si>
  <si>
    <t>5149-VPA-002-IAMC</t>
  </si>
  <si>
    <t>OpenText Access Manager (NAM)</t>
  </si>
  <si>
    <t>Gestión de identidad federada (SAML 2.0); integración con identidad institucional</t>
  </si>
  <si>
    <t>Arturo A</t>
  </si>
  <si>
    <t>arturo.a@tec.mx</t>
  </si>
  <si>
    <t>alma.ortizh@tec.mx</t>
  </si>
  <si>
    <t xml:space="preserve">OpenText </t>
  </si>
  <si>
    <t>OpenText NAM (identidad federada)</t>
  </si>
  <si>
    <t>3 confirmadas por regla de negocio / estándar técnico (segunda pasada, 10-sep-2026): (1) NAM ⇄ Entra/Azure AD — reutilización de identidad institucional para Comunidad Tec (Matriz de Reglas de Negocio Identidad Digital VPAF, regla RN-069); (2) TLG ↔ NAM — SSO institucional vía OIDC/OAuth2, en preparación, contrato de autenticación aún no habilitado en DEVL al 01-jul-2026 ("Premisas de Integración OIDC · TLG" v1.0); (3) NAM ⇄ Habilitadores federados del ecosistema VPAF (genérico, SAML 2.0 u OIDC/OAuth2 según habilitador — reglas RN-073 a RN-076). No se cuenta con un inventario exhaustivo de todos los habilitadores ya federados.</t>
  </si>
  <si>
    <t>Identidad Digital (carpeta de estrategia, roles/permisos, identidad federada)</t>
  </si>
  <si>
    <t>OpenPay</t>
  </si>
  <si>
    <t>Pasarela de pagos para transacciones de e-commerce vía VTEX</t>
  </si>
  <si>
    <t>Equipo Central* (Validar con Daniel Perez y Flor Esquivel)</t>
  </si>
  <si>
    <t>Flor Esquivel</t>
  </si>
  <si>
    <t>OpenPay (pasarela de pagos)</t>
  </si>
  <si>
    <t>1 posible, no confirmada: dentro del checkout nativo de VTEX (DIR-001-04, PCHK) se configuran 7 métodos de pago como "Payment Gateways" en VTEX Admin (tarjeta débito/crédito, PayPal, FlyWire, Ficha de Depósito Nacional, banca electrónica, OXXO Pay, SPEI), cada uno gestionado por el equipo VTEX TEC. La ficha de integración NO nombra explícitamente a OpenPay como el gateway subyacente de ninguno de esos métodos — pendiente de confirmar con el equipo VTEX TEC cuál proveedor opera cada uno.</t>
  </si>
  <si>
    <t>Flujo de compra de productos (incluye checkout VTEX + validación de cupo)</t>
  </si>
  <si>
    <t>VTEX</t>
  </si>
  <si>
    <t>Plataforma de e-commerce para venta de productos educativos digitales</t>
  </si>
  <si>
    <t>Toño (solo nombre de pila; fuente: Correspondencia_Aplicaciones_APM_vs_Habilitadores.xlsx)
Dato de contrato (Template contratos_11Sep26_V1.xlsx): Business Owner = Tania Nohemi Villa Silva; Vendor = VTEX MEXICO SOLUCIONES EN ECOMMERCE S. de R.L. de C.V.; Contract Administrator = Juan Alonso Valenzuela Rodríguez; Approver = Carmen Isabel Reyes Peraza. Pendiente reconciliar con el nombre "Toño" ya registrado como dueño de negocio desde otra fuente.</t>
  </si>
  <si>
    <t>jebreyes@tec.mx
Contactos adicionales identificados en sesión S-035 (02-sep-2026): María de Lourdes Ayala Mercado (lourdes.ayala@tec.mx) y Remigio Martínez Osorio (remigio.m@tec.mx) — documentación de VTEX pendiente de ser compartida por su equipo (compromiso registrado en la minuta de esa sesión, aún no cumplido a la fecha de esta pasada).</t>
  </si>
  <si>
    <t>Fernando Moreira</t>
  </si>
  <si>
    <t>VTEX (plataforma e-commerce)</t>
  </si>
  <si>
    <t>Ambiente QA (no producción): 23 roles definidos (Owner Admin Super, OMS - Full access, Finance, Checkout Admin, Tec QA, Logistics - Full access, etc.) y ~35 usuarios con roles asignados, incluyendo cuentas del proveedor @wallia.io con permisos de Owner/Admin (fuente: 'Roles y Usuarios VTEX - Ambiente QA.xlsx'). No es una cifra de usuarios activos en producción.</t>
  </si>
  <si>
    <t>Plataforma de e-commerce para venta de productos educativos digitales
⚠ Verificar: ID Habilitador también asignado a fila 41 ("Market Tec").</t>
  </si>
  <si>
    <t>DIR-012 - Portal-VTEX IS (ver también DIR-001-01..04 y JOB-012-Pulsar-VTEX)</t>
  </si>
  <si>
    <t>0024-HTI-001-CRMC</t>
  </si>
  <si>
    <t>Marketing Cloud</t>
  </si>
  <si>
    <t>Automatización de marketing transaccional y campañas avanzadas</t>
  </si>
  <si>
    <t>06. Proyección y Vinculación</t>
  </si>
  <si>
    <t>MKT03. Promoción</t>
  </si>
  <si>
    <t>Toño (solo nombre de pila; fuente: Correspondencia_Aplicaciones_APM_vs_Habilitadores.xlsx)</t>
  </si>
  <si>
    <t>Rafael Robles</t>
  </si>
  <si>
    <t>diana.gzz@tec.mx</t>
  </si>
  <si>
    <t>rafael.robles@tec.mx</t>
  </si>
  <si>
    <t>jesus.rendon@tec.mx</t>
  </si>
  <si>
    <t>Salesforce Marketing Cloud</t>
  </si>
  <si>
    <t>5039-HTI-001-BIST</t>
  </si>
  <si>
    <t>FUD (DWH)</t>
  </si>
  <si>
    <t>Fuente Única de Datos: repositorio analítico unificado; en Fase 1 de implementación</t>
  </si>
  <si>
    <t>10. Plataforma de Datos</t>
  </si>
  <si>
    <t>DP01. TEC.data</t>
  </si>
  <si>
    <t>Salvador Adrián Tijerina Dávila (satijerinad@tec.mx) concentra actualmente la documentación, la definición funcional y la coordinación de la implementación de FUD (sesión S-048, 15/09/2026) — iniciales 'SAT' ya reflejadas en Responsable funcional. Aún NO hay un Product Owner formalmente designado; queda pendiente definir explícitamente los roles de Product Owner, Responsable Funcional y Responsable Técnico como distintos entre sí.</t>
  </si>
  <si>
    <t>malcala@tec.mx</t>
  </si>
  <si>
    <t>SAT</t>
  </si>
  <si>
    <t>Equipo Central* (Validar)</t>
  </si>
  <si>
    <t>Data warehouse central (en construcción)</t>
  </si>
  <si>
    <t>17 fuentes de datos programadas para integrar en el roadmap MVP1 (abr–oct 2026): SEA-SIS, Cypher Learning, TLG, MDM, Banner (Tec y UTM), SAP/HANA, Interfactura, Portal Unificado (Tecnográficos y Compra y Pago), VTEX (eCommerce), Salesforce CRM, Qualtrics, tec.feedback, PASE, Buscador/Search Bar, TEC.bot VPAF — habilitando 11 modelos de datos (Persona, Gestión del Aprendizaje, Ingresos, Financiero, Tecnográficos, Compra y Pago, Comercial U4P, Telemetría, Encuestas, NPS, Expertos).</t>
  </si>
  <si>
    <t>Fuente Única de Datos: repositorio analítico unificado; en Fase 1 de implementación
Aclaración (sesión S-048, 15-sep-2026): FUD es el nombre del PROYECTO de habilitación del Data Warehouse institucional para la VPAF, no un producto independiente; debe alinearse con la arquitectura de datos corporativa (equipos centrales de datos: Ma. Elizabeth Alcalá Flores malcala@tec.mx, Lucero Mayela Sotomayor Ruiz lucero_sotomayor@tec.mx). Existe un modelo centralizado de operación institucional para el Data Warehouse (DBAs, plataformas de integración, virtualización, Power BI, soporte BI), pero el soporte operativo específico de FUD dentro de la VPAF aún no está definido; los roles de Product Owner, Responsable Funcional y Responsable Técnico, hoy concentrados principalmente en Salvador Adrián Tijerina Dávila, quedan pendientes de formalizar como distintos entre sí.</t>
  </si>
  <si>
    <t>FUD (Transformación / Ecosistema Digital del Futuro)</t>
  </si>
  <si>
    <t>Middleware B2C</t>
  </si>
  <si>
    <t>Middleware B2B</t>
  </si>
  <si>
    <t>Larisa Díaz / Ana Karen Jimenez</t>
  </si>
  <si>
    <t>Nota (10-sep-2026, fuente Repositorio TD-Ecosistema Digital VPAF): no se encontró ningún habilitador con el nombre exacto "Middleware B2B" en el repositorio. Candidatos posibles, sin confirmar: (1) la integración PGL-001 (carpeta Integraciones/MVP1/Registro de Leads B2B - Salesforce/PGL Generación Automática de Lead.docx, jul-2026) — el Portal Unificado (BFF) envía un lead B2B directo al CRM Salesforce vía PATCH /sobjects/Lead/{ExternalIdField} (Upsert síncrono, OAuth 2.0 JWT Bearer); es un hop directo Portal→Salesforce, no un middleware intermedio, así que probablemente no es lo mismo. (2) menciones sueltas a "Middleware 26" y "Middleware ESB IBM" en Integraciones/MVP1/20260408 Documento Integraciones verano publica_v1.pdf, como capas de integración legadas genéricas (Banner, SAP/HANA, Gestor de pagos, Interfactura) — sin evidencia textual de que se relacionen con B2B específicamente. Pendiente confirmar con el equipo si "Middleware B2B" corresponde a alguno de estos.</t>
  </si>
  <si>
    <t>Búsqueda exhaustiva en Repositorio TD-Ecosistema Digital VPAF (wiki completa + Integraciones/MVP1 + MVP2 + gobierno de aplicaciones/aplicativos/datos + identidad digital); no se encontró el nombre exacto, solo candidatos relacionados sin confirmar (ver Notas)</t>
  </si>
  <si>
    <t>Sistema de ordenes internas B2B</t>
  </si>
  <si>
    <t>Búsqueda exhaustiva en Repositorio TD-Ecosistema Digital VPAF el 10-sep-2026 (wiki institucional completa — 224 páginas — más Integraciones/MVP1, MVP2, gobierno de aplicaciones/aplicativos/datos, identidad digital, catálogos y documentos adicionales); no se encontró ninguna mención de este habilitador con ese nombre ni variantes cercanas</t>
  </si>
  <si>
    <t>Speed2Lead (Asignator)</t>
  </si>
  <si>
    <t xml:space="preserve">Monitor de colorimetria </t>
  </si>
  <si>
    <t>Enrutador de correos</t>
  </si>
  <si>
    <t>Nota (10-sep-2026, fuente Repositorio TD-Ecosistema Digital VPAF): no se encontró el nombre exacto "Enrutador de correos", pero el componente que funcionalmente actúa como enrutador/relay de correo institucional es el SMTP Gateway (FUD/Pages/SMTP-Gateway.html, dueño Alejandro Guajardo Moreno — Infraestructura TI, publicado 5-abr-2022): "la puerta de salida hacia el mundo de todos los correos transaccionales que generan nuestros sistemas" — solo correo transaccional (facturas, notificaciones, calificaciones), envío masivo/marketing prohibido, solo sistemas dentro de los CPD del Tec (servicios cloud externos como Success Factors/Concur/Coupa no se conectan ahí), remitente obligatorio @servicios.itesm.mx, solicitud de alta vía doi.correo@itesm.mx. Se deja como candidato sin confirmar — no se llenaron los campos principales (Descripción, Responsables, etc.) hasta confirmar con el equipo si es el mismo habilitador.</t>
  </si>
  <si>
    <t>Repositorio TD-Ecosistema Digital VPAF/FUD/Pages/SMTP-Gateway.html (candidato relacionado, sin confirmar)</t>
  </si>
  <si>
    <t xml:space="preserve">Prefect (Orquestador de tableros) </t>
  </si>
  <si>
    <t>Contenedora de Skills (Orquestador de Skills)</t>
  </si>
  <si>
    <t>Nota (10-sep-2026, fuente Repositorio TD-Ecosistema Digital VPAF): no se encontró el nombre exacto "Contenedora de Skills"/"Orquestador de Skills", pero FUD/Pages/Arquitectura-de-componentes-de-IA.html (autor Alfonso Jesús Treviño Cantú) describe que Tec.Gpt "cuenta con dos portales propios: uno para realizar consultas y otro para crear skills, entendiéndose por skill una habilidad o rutina repetitiva que queremos invocar frecuentemente [...] de manera rápida y simplificada" — el prompt se traduce a vectores vía embeddings (API de OpenAI) y se cachean temporalmente (no persistente) en REDIS, sobre Azure/OpenAI. FUD/Pages/Tec.gpt.html confirma el dueño: Manuel Terán Melgarejo, Gerencia del Centro de Arquitectura y Habilitación de Inteligencia Artificial, publicado 17-abr-2023. Se deja como candidato sin confirmar — no se llenaron los campos principales hasta confirmar con el equipo si "Contenedora de Skills" es este portal de Tec.Gpt o un componente distinto.</t>
  </si>
  <si>
    <t>Repositorio TD-Ecosistema Digital VPAF/FUD/Pages/Arquitectura-de-componentes-de-IA.html y Tec.gpt.html (candidato relacionado, sin confirmar)</t>
  </si>
  <si>
    <t xml:space="preserve">Formateador de semblanzas PASE </t>
  </si>
  <si>
    <t>Superate</t>
  </si>
  <si>
    <t>DED</t>
  </si>
  <si>
    <t>Formando formadores</t>
  </si>
  <si>
    <t>Centro Virtual de aprendizaje</t>
  </si>
  <si>
    <t>innermetrix</t>
  </si>
  <si>
    <t>Tec.doc</t>
  </si>
  <si>
    <t>Repositorio institucional de gestión documental del Tec de Monterrey. Expone un API JSON-RPC 2.0 (endpoint POST /documento, método CrearDocumento) que recibe un archivo en base64 más metadatos (repositorio, tipo de documento, institución, nivel de acceso) y devuelve una URL del documento con token SAS para descarga.</t>
  </si>
  <si>
    <t>API Gateway institucional (APIM) / JSON-RPC 2.0</t>
  </si>
  <si>
    <t>https://apigateway-devl.tec.mx/documentos-institucionales/metodos-gestion</t>
  </si>
  <si>
    <t>1 documentada (JOB-015)</t>
  </si>
  <si>
    <t>Nota (10-sep-2026, fuente Repositorio TD-Ecosistema Digital VPAF): TEC.doc está confirmado como componente de la familia "Tec.X" en FUD/Pages/Componentes.html (junto a TEC.cognitive, TEC.credentials, TEC.data, TEC.gpt, TEC.id, TEC.IoT, TEC.mobi, TEC.notify, TEC.pay, TEC.sandbox, TEC.sign, TEC.verse), aunque esa entrada del catálogo está vacía. La descripción funcional viene del contrato de integración JOB-015 ("Descarga de Folleto", carpeta Integraciones/MVP1/Flujo de registro de URL de folletos): Pulsar toma folletos informativos (PDF) desde SharePoint (Microsoft Graph API) y los da de alta en TEC.doc (idHabilitador=21 "VPAFMARKET", idRepositorio=44 "repvpafmarket", idTipoDocumento=422 "Folleto Informativo"); TEC.doc devuelve la URL/SAS del documento, que después se escribe en SEA API (tabla taxonomiarepositorio). El propio documento aclara que este contrato no se ha verificado formalmente con el equipo dueño de TEC.doc — no se nombra un responsable específico, solo "equipo de TEC.doc" como stakeholder genérico. Pendiente confirmar con ese equipo antes de dar estos datos por definitivos.</t>
  </si>
  <si>
    <t>Repositorio TD-Ecosistema Digital VPAF/Integraciones/MVP1/Flujo de registro de URL de folletos/JOB-015_Descarga_de_Folleto.docx (contrato de integración); confirmado como componente en FUD/Pages/Componentes.html</t>
  </si>
  <si>
    <t>Tec.cognitive</t>
  </si>
  <si>
    <t>Manuel Terán Melgarejo (Gerencia del Centro de Arquitectura y Habilitación de IA)</t>
  </si>
  <si>
    <t>Nota (10-sep-2026, fuente Repositorio TD-Ecosistema Digital VPAF): se encontró la página de wiki institucional FUD/Pages/TEC.cognitive.html (topicHeader "COMPONENTE", publicada 17-abr-2023, dueño Manuel Terán Melgarejo — Gerencia del Centro de Arquitectura y Habilitación de IA). Confirma que TEC.cognitive existe como componente real de la familia "Tec.X", pero todas sus secciones de contenido (Introducción, Requisitos previos, Guía de inicio rápido, Documentación de API, Casos de referencia, etc.) están vacías — es una plantilla sin llenar (única entrada de "Evolución del documento": v1.0, 13-abr-2023, "Documento base"). No se encontró ninguna descripción funcional de qué hace o para qué se usa; se deja "Descripción" sin cambiar hasta que se consiga esa información con el equipo dueño.</t>
  </si>
  <si>
    <t>Repositorio TD-Ecosistema Digital VPAF/FUD/Pages/TEC.cognitive.html</t>
  </si>
  <si>
    <t>Plataforma para conectar académicos con Socios Formadores para colaborar en proyectos.</t>
  </si>
  <si>
    <t>Node.js, Java</t>
  </si>
  <si>
    <t>Aplicativo hallado dentro de una fila con celdas combinadas (merge A28:A30 / F28:F30 / G28:G30, heredado del archivo fuente 'E1.1_Inventario autoritativo de aplicativos (1).xlsx' de la carpeta 'Nueva Evidencia'), compartida visualmente con 'Marketplace de Talento' (#25) y 'Nimbi' (#26). No tenía # ni fila propia. Se formaliza aquí como registro independiente (E1.1.2, adición pura, no se modificó ni eliminó nada del E1.1/E1.1.1) tomando los valores que sí eran propios y distintivos de esta fila en el archivo fuente (columna 'Producto_Componente:Title' contenía el nombre real; ID Habilitador, URL, responsables, stack y disposición TIME eran valores propios de la fila). PENDIENTE: validar con el equipo dueño que la lectura de estas columnas (afectadas por el corrimiento de columnas conocido en este bloque) es correcta antes de dar el registro por definitivo. Fuente: Nueva Evidencia, 15-sep-2026. Añadido: 16-sep-2026.</t>
  </si>
  <si>
    <t>3</t>
  </si>
  <si>
    <t>Aplicativo hallado dentro de una fila con celdas combinadas (merge A28:A30 / F28:F30 / G28:G30, heredado del archivo fuente 'E1.1_Inventario autoritativo de aplicativos (1).xlsx' de la carpeta 'Nueva Evidencia'), compartida visualmente con 'Marketplace de Talento' (#25) y 'Marketplace de Socios Formadores' (#66). No tenía # ni fila propia. Se formaliza aquí como registro independiente (E1.1.2, adición pura, no se modificó ni eliminó nada del E1.1/E1.1.1) tomando los valores que sí eran propios y distintivos de esta fila (columna 'Producto_Componente:Title' contenía el nombre real; ID Habilitador, responsables, proveedor, stack, hosting y disposición TIME eran valores propios de la fila). La 'Descripción' que aparecía en columnas contiguas de esta fila ('Conecta a prospectos egresados con empleadores') es en realidad la de 'Marketplace de Talento' (arrastrada por el mismo corrimiento/merge de columnas), por lo que NO se usó — se deja 'Descripción' sin información hasta confirmar con el equipo. PENDIENTE: validar con el equipo dueño la lectura completa de esta fila antes de darla por definitiva. Fuente: Nueva Evidencia, 15-sep-2026. Añadido: 16-sep-2026.</t>
  </si>
  <si>
    <t>Sin información / por confirmar</t>
  </si>
  <si>
    <t>vForm (Plataforma de Gestión de Innovación Educativa)</t>
  </si>
  <si>
    <t>Plataforma SaaS (proveedor Vinko Digital/Vinko SPA) para la gestión de convocatorias de innovación educativa: postulación, revisión y seguimiento de participantes de los programas "Novus" y "Registro i" de CEDDIE Región Monterrey.</t>
  </si>
  <si>
    <t>Claudia Erika García López (CEDDIE Región Monterrey, L00633917) — claudia.e.garcia@tec.mx</t>
  </si>
  <si>
    <t>Edna Edith Olivo Rivera (Devteam Head, Dirección de Desarrollo-Techvolution 2.0, L00765933) — eeolivo@tec.mx</t>
  </si>
  <si>
    <t>Héctor Jacobo Ríos Quiroz (Registro i, L01391151) y Mónica Medellín Estrada (Novus, L03140344) — Líderes de Soporte Funcional, Experimentación y Medición de Impacto</t>
  </si>
  <si>
    <t>Juan Pablo Giordano (Vinko Digital, Líder de Soporte Técnico del Proveedor) — juanpablo@vinkodigital.com</t>
  </si>
  <si>
    <t>TI de Vinko Digital (proveedor) — la operación de infraestructura y plataforma está incluida en el licenciamiento SaaS</t>
  </si>
  <si>
    <t>Soporte Vinko Digital (soporte@vinkodigital.com, WhatsApp +56 9 4165 0442); Soporte Técnico N2 del Tec: José Patricio Simbrón, Cynthia Rodulfo Hernández</t>
  </si>
  <si>
    <t>Vinko Digital / Vinko SPA (Chile)</t>
  </si>
  <si>
    <t>Solución adquirida (SaaS) — sin desarrollo a la medida; la configuración de parámetros y convocatorias se realiza dentro de la propia plataforma</t>
  </si>
  <si>
    <t>Cloud-SaaS — Heroku (aplicación, con escalamiento horizontal automático vía HireFire) + AWS (servidores de procesamiento y base de datos en Virginia, USA; repositorio de archivos en S3, Ohio, USA)</t>
  </si>
  <si>
    <t>Heroku (PaaS) + AWS S3; monitoreo Appsignal (general), logDNA (logs), Sentry (errores), Sqreen (seguridad/WAF); análisis estático Brakeman + GitHub Security Alerts</t>
  </si>
  <si>
    <t>https://innovation.tec.mx</t>
  </si>
  <si>
    <t>https://innovation-test.tec.mx</t>
  </si>
  <si>
    <t>Contrato SaaS vigente hasta 27-mar-2026 (renovación anual — "Contrato SaaS vForm - Tec de Monterrey 2025_VF.docx")</t>
  </si>
  <si>
    <t>8,145 usuarios totales (2024; licenciamiento con usuarios ilimitados). Concurrencia histórica: Registro i 550 postulaciones en 6 convocatorias (2024); Novus 277 postulaciones en 5 convocatorias (2024). Capacidad soportada: 1,000 usuarios simultáneos/hora (prueba de carga JMeter del proveedor).</t>
  </si>
  <si>
    <t>Sin evaluar</t>
  </si>
  <si>
    <t>5 integraciones directas confirmadas (Volumen Operativo M2O): Banner 9, DWH, BO (BusinessObjects), SSFF (SuccessFactors), MDM; 1 integración indirecta: SAMP → MDM.</t>
  </si>
  <si>
    <t>Hallazgo de sexta pasada (10-sep-2026): habilitador no incluido en el Inventory APM (v17/v18/v19) ni en los 31 TDD existentes hasta esta fecha. Encontrado en la carpeta previamente sin escanear "Documentacion_Digital_Nueva" (subcarpeta IO-M2O), agregada por el usuario al repositorio "Repositorio TD-Ecosistema Digital VPAF". Se confirmó mediante tres documentos M2O reales y llenos (no plantillas vacías): "IO-M2O-Presupuesto y Contrato_Habilitador-yyyyddmm.docx", "IO-M2O-Volumen Operativo_Habilitador-yyyyddmm.docx" e "IO-M2O-OLA-Habilitador-yyyyddmm.docx". Contactos y roles, disponibilidad objetivo (24/7, uptime ≥98% con penalización contractual del 3% por incumplimiento), esquema de escalamiento (HireFire/Heroku), y ventana de atención del proveedor (lunes a viernes 08:30–18:30 hora de Santiago de Chile) citados textualmente de esos documentos. Se creó el TDD-APM-vForm (TDD #11 de esta iniciativa) a partir de esta misma documentación. Nota de calidad de dato: los extractos ".md" de la subcarpeta "_ia-ready" de esa carpeta son resúmenes generados por una prueba de concepto interna con IA local (ollama/qwen3:8b, confianza reportada 64–75%) y no se usaron como fuente autoritativa; todos los datos de esta fila provienen de la lectura directa de los documentos Word originales. Todos los campos marcados "Sin información / por confirmar" (ID Habilitador, Producto_Componente, URLs de desarrollo, versión, fecha de primer día en producción, criticidad/puntaje VN-ST, clasificación de datos, etiquetas de cumplimiento) no cuentan con evidencia documental y deben levantarse con el equipo de Arquitectura y con CEDDIE Región Monterrey.</t>
  </si>
  <si>
    <t>Sin información / por confirmar — no forma parte de los ecosistemas ya catalogados (VEC/TLG/Transversal); pendiente definir con Arquitectura</t>
  </si>
  <si>
    <t>Documentacion_Digital_Nueva/IO-M2O (Presupuesto y Contrato, Volumen Operativo, OLA — documentos M2O reales y llenos); no forma parte del sitio de SharePoint crawleado (carpeta local agregada por el usuario, sexta pasada 10-sep-2026)</t>
  </si>
  <si>
    <t>MATRIZ DE CALIFICACIÓN — VALOR DE NEGOCIO</t>
  </si>
  <si>
    <t>Criterio</t>
  </si>
  <si>
    <t>Alineación Estratégica</t>
  </si>
  <si>
    <t>Grado en que la aplicación apoya la estrategia corporativa y los indicadores clave de la organización.</t>
  </si>
  <si>
    <t>Impacto en Ingresos / Costos</t>
  </si>
  <si>
    <t>Contribución directa a la generación de ingresos o a la reducción de costos.</t>
  </si>
  <si>
    <t>Base de Usuarios y Alcance</t>
  </si>
  <si>
    <t>Número de usuarios activos y amplitud de las áreas de negocio atendidas.</t>
  </si>
  <si>
    <t>Criticidad del Proceso</t>
  </si>
  <si>
    <t>Dependencia operativa — ¿qué pasa si la aplicación no está disponible?</t>
  </si>
  <si>
    <t>Ventaja Competitiva</t>
  </si>
  <si>
    <t>¿La aplicación permite diferenciación frente a la competencia?</t>
  </si>
  <si>
    <t>ESCALA DE CALIFICACIÓN  |  5 = Esencial  ·  4 = Importante  ·  3 = Moderado  ·  2 = Marginal  ·  1 = Mínimo</t>
  </si>
  <si>
    <t>MATRIZ DE CALIFICACIÓN — SALUD TÉCNICA</t>
  </si>
  <si>
    <t>Calidad de Arquitectura</t>
  </si>
  <si>
    <t>Cumplimiento de los estándares de arquitectura vigentes (API-first, microservicios, cloud-native).</t>
  </si>
  <si>
    <t>Estado de Soporte del Proveedor</t>
  </si>
  <si>
    <t>Soporte activo del proveedor. Fecha de EOL/EOS vs. hoy. Cadencia de parches de seguridad.</t>
  </si>
  <si>
    <t>Escalabilidad y Desempeño</t>
  </si>
  <si>
    <t>Capacidad para manejar la carga actual y proyectada. Tasa de cumplimiento de SLA.</t>
  </si>
  <si>
    <t>Mantenibilidad</t>
  </si>
  <si>
    <t>Calidad del código, cobertura de documentación, nivel de automatización de despliegues.</t>
  </si>
  <si>
    <t>Postura de Seguridad</t>
  </si>
  <si>
    <t>CVEs conocidos, resultado del último pen-test, cumplimiento de los benchmarks OWASP/CIS.</t>
  </si>
  <si>
    <t>ESCALA DE CALIFICACIÓN  |  5 = Excelente  ·  4 = Bueno  ·  3 = Aceptable  ·  2 = Deficiente  ·  1 = Crítico / EOL</t>
  </si>
  <si>
    <t>MATRIZ DE CUADRANTES TIME — Lógica de Calificación Compuesta</t>
  </si>
  <si>
    <t>Salud Técnica: Baja (1-2)</t>
  </si>
  <si>
    <t>Salud Técnica: Alta (3-5)</t>
  </si>
  <si>
    <t>VN: Alta (3-5)</t>
  </si>
  <si>
    <t>MIGRATE  --  VN Alta + ST Baja  --  Modernizar o reemplazar la plataforma</t>
  </si>
  <si>
    <t>INVEST  --  VN Alta + ST Alta  --  Mejorar y hacer crecer</t>
  </si>
  <si>
    <t>VN: Baja (1-2)</t>
  </si>
  <si>
    <t>ELIMINATE  --  VN Baja + ST Baja  --  Dar de baja lo antes posible</t>
  </si>
  <si>
    <t>TOLERATE  --  VN Baja + ST Alta  --  Minimizar el gasto, planear su retiro</t>
  </si>
  <si>
    <t>TABLERO DEL PORTAFOLIO DE APLICACIONES — TIME DE GARTNER</t>
  </si>
  <si>
    <t>Generado: 24 jul 2026   ·   Fuente: hoja Inventory</t>
  </si>
  <si>
    <t>⬛  Portafolio por Disposición TIME</t>
  </si>
  <si>
    <t>INVEST</t>
  </si>
  <si>
    <t>MIGRATE</t>
  </si>
  <si>
    <t>TOLERATE</t>
  </si>
  <si>
    <t>ELIMINATE</t>
  </si>
  <si>
    <t>💰  Costo Anual por Disposición TIME</t>
  </si>
  <si>
    <t>Costo Total INVEST</t>
  </si>
  <si>
    <t>Costo Total MIGRATE</t>
  </si>
  <si>
    <t>Costo Total TOLERATE</t>
  </si>
  <si>
    <t>Costo Total ELIMINATE</t>
  </si>
  <si>
    <t>⚠️  Indicadores de Riesgo</t>
  </si>
  <si>
    <t>EOL en &lt;12 Meses</t>
  </si>
  <si>
    <t>EOL ya Vencido</t>
  </si>
  <si>
    <t>Total de Aplicaciones</t>
  </si>
  <si>
    <t>Costo Total Anual</t>
  </si>
  <si>
    <t>🔴  Aplicaciones por Criticidad</t>
  </si>
  <si>
    <t>☁️  Aplicaciones por Modelo de Hosting</t>
  </si>
  <si>
    <t>Cloud-IaaS/PaaS</t>
  </si>
  <si>
    <t>📈  Cobertura de Datos (Inventory, filas 4–52)</t>
  </si>
  <si>
    <t>Datos para gráficas (no editar)</t>
  </si>
  <si>
    <t>Aplicaciones</t>
  </si>
  <si>
    <t>Invest</t>
  </si>
  <si>
    <t>Tolerate</t>
  </si>
  <si>
    <t>PROCESO DE GOBIERNO APM — Roles, Cadencia y Actividades</t>
  </si>
  <si>
    <t>👥  Matriz RACI — Roles Clave</t>
  </si>
  <si>
    <t>Actividad</t>
  </si>
  <si>
    <t>Cadencia</t>
  </si>
  <si>
    <t>Responsable</t>
  </si>
  <si>
    <t>RACI</t>
  </si>
  <si>
    <t>Descripción y Entregables</t>
  </si>
  <si>
    <t>Coordinador APM</t>
  </si>
  <si>
    <t>—</t>
  </si>
  <si>
    <t>Mantiene el inventario, programa las revisiones, consolida las calificaciones. R para todas las actividades de APM.</t>
  </si>
  <si>
    <t>Dueño de la Aplicación</t>
  </si>
  <si>
    <t>Interesado de negocio o de TI responsable de cada aplicación. R para la captura de calificaciones.</t>
  </si>
  <si>
    <t>Arquitecto Empresarial</t>
  </si>
  <si>
    <t>Define los estándares, valida las recomendaciones TIME, es dueño del marco APM. A para las disposiciones.</t>
  </si>
  <si>
    <t>CIO / Director de TI</t>
  </si>
  <si>
    <t>Aprueba las decisiones del portafolio (Invest, Migrate, Eliminate). A para el impacto presupuestal.</t>
  </si>
  <si>
    <t>Socio de Negocio de Finanzas</t>
  </si>
  <si>
    <t>Valida los datos de costo, los vincula al presupuesto de TI. C para los campos de costo.</t>
  </si>
  <si>
    <t>Oficial de Seguridad</t>
  </si>
  <si>
    <t>Revisa la clasificación de datos y las etiquetas de cumplimiento. C para los campos de riesgo.</t>
  </si>
  <si>
    <t>📅  Cadencia de Gobierno</t>
  </si>
  <si>
    <t>Revisión Anual del Portafolio</t>
  </si>
  <si>
    <t>Anual (T1)</t>
  </si>
  <si>
    <t>R-Arquitecto Empresarial / A-CIO</t>
  </si>
  <si>
    <t>Reevaluación completa de todas las aplicaciones. Actualizar todas las calificaciones, costos, fechas de EOL, disposiciones y elementos de la hoja de ruta. Entregable: Inventory actualizado + resumen ejecutivo.</t>
  </si>
  <si>
    <t>Revisión Trimestral de Salud</t>
  </si>
  <si>
    <t>Trimestral</t>
  </si>
  <si>
    <t>R-Dueño de la Aplicación / I-CIO</t>
  </si>
  <si>
    <t>Enfocado en las aplicaciones Migrate y Eliminate. Revisar el avance de proyectos, costos actualizados y alertas de riesgo. Entregable: reporte de estatus para el liderazgo de TI.</t>
  </si>
  <si>
    <t>Bajo demanda</t>
  </si>
  <si>
    <t>Toda aplicación nueva debe registrarse antes de su puesta en producción. Completar todos los campos de Inventory. La disposición TIME se define de forma provisional; se confirma en la siguiente revisión anual.</t>
  </si>
  <si>
    <t>Aprobación de Baja</t>
  </si>
  <si>
    <t>R-CIO / C-Finanzas / I-Seguridad</t>
  </si>
  <si>
    <t>Aprobación formal para dar de baja una aplicación. Actualizar Status → Retiring, documentar el plan de migración, registrar los ahorros. Entregable: acta de baja firmada.</t>
  </si>
  <si>
    <t>Revisión de Emergencia</t>
  </si>
  <si>
    <t>Ad hoc</t>
  </si>
  <si>
    <t>R-CIO / A-Coordinador APM</t>
  </si>
  <si>
    <t>Se activa por EOL crítico de un proveedor, brecha de seguridad o evento de M&amp;A. Reevaluación TIME acelerada para las aplicaciones afectadas.</t>
  </si>
  <si>
    <t>Conciliación de Costos</t>
  </si>
  <si>
    <t>Semestral</t>
  </si>
  <si>
    <t>Enlace de Finanzas</t>
  </si>
  <si>
    <t>R-Coordinador APM / A-CIO</t>
  </si>
  <si>
    <t>Conciliar facturas de licencias, gasto de infraestructura y contratos de soporte contra los campos de costo de Inventory. Actualizar las columnas O, P, Q.</t>
  </si>
  <si>
    <t>✅  Lista de Verificación — Alta de Nueva Aplicación</t>
  </si>
  <si>
    <t xml:space="preserve">  ☐  Nombre de la aplicación, proveedor y tipo confirmados</t>
  </si>
  <si>
    <t xml:space="preserve">  ☐  Dueño de negocio y dueño de TI asignados</t>
  </si>
  <si>
    <t xml:space="preserve">  ☐  Modelo de hosting y stack tecnológico documentados</t>
  </si>
  <si>
    <t xml:space="preserve">  ☐  Fecha de puesta en producción confirmada; fecha de EOL del proveedor investigada</t>
  </si>
  <si>
    <t xml:space="preserve">  ☐  Estimado de costo anual (licencias + infraestructura + soporte) capturado</t>
  </si>
  <si>
    <t xml:space="preserve">  ☐  Valor de Negocio y Salud Técnica calificados inicialmente (1–5)</t>
  </si>
  <si>
    <t xml:space="preserve">  ☐  Clasificación de Datos y Etiquetas de Cumplimiento definidas por el Oficial de Seguridad</t>
  </si>
  <si>
    <t xml:space="preserve">  ☐  Inventario de integraciones completado (conteo y lista de sistemas)</t>
  </si>
  <si>
    <t xml:space="preserve">  ☐  Disposición TIME revisada con el Arquitecto Empresarial</t>
  </si>
  <si>
    <t xml:space="preserve">  ☐  Registrada en la hoja Inventory antes de la autorización de puesta en producción</t>
  </si>
  <si>
    <t>Tipo de Aplicación</t>
  </si>
  <si>
    <t>Cloud-IaaS</t>
  </si>
  <si>
    <t>ERP Module</t>
  </si>
  <si>
    <t>Retired</t>
  </si>
  <si>
    <t>Open Source</t>
  </si>
  <si>
    <t>Legacy</t>
  </si>
  <si>
    <t>Colocation</t>
  </si>
  <si>
    <t>Platform Service</t>
  </si>
  <si>
    <t>1er grupo</t>
  </si>
  <si>
    <t>sea</t>
  </si>
  <si>
    <t>pase</t>
  </si>
  <si>
    <t>vtex</t>
  </si>
  <si>
    <t xml:space="preserve">portal unificado </t>
  </si>
  <si>
    <t>cypher</t>
  </si>
  <si>
    <t>Grupo2</t>
  </si>
  <si>
    <t>DRUPAL</t>
  </si>
  <si>
    <t>TEC BOT</t>
  </si>
  <si>
    <t>OPEN TEXT</t>
  </si>
  <si>
    <t>OPEN PAY</t>
  </si>
  <si>
    <t>FUD</t>
  </si>
  <si>
    <t>ACREDIBLE</t>
  </si>
  <si>
    <t>NINBI</t>
  </si>
  <si>
    <t>PULSAR</t>
  </si>
  <si>
    <t>PORTAL DE REGISTRO Y PAGO</t>
  </si>
  <si>
    <t>salesForce</t>
  </si>
  <si>
    <t>Grupo 3</t>
  </si>
  <si>
    <t>Fontiva</t>
  </si>
  <si>
    <t>midelware</t>
  </si>
  <si>
    <t>BANER</t>
  </si>
  <si>
    <t>MARKET TEC</t>
  </si>
  <si>
    <t>Grupo4</t>
  </si>
  <si>
    <t>Canvas</t>
  </si>
  <si>
    <t>Portales VEC</t>
  </si>
  <si>
    <t>PLataforma web centro de idiomas</t>
  </si>
  <si>
    <t>gRUPO 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</si>
</sst>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numFmt numFmtId="165" formatCode="\$#,##0"/>
  </numFmts>
  <fonts count="54" x14ac:knownFonts="1">
    <font>
      <sz val="11"/>
      <color theme="1"/>
      <name val="Calibri"/>
      <family val="2"/>
      <charset val="1"/>
    </font>
    <font>
      <u/>
      <sz val="11"/>
      <color theme="10"/>
      <name val="Calibri"/>
      <family val="2"/>
      <charset val="1"/>
    </font>
    <font>
      <b/>
      <u/>
      <sz val="20"/>
      <color rgb="FF1B3068"/>
      <name val="Arial"/>
      <charset val="1"/>
    </font>
    <font>
      <sz val="13"/>
      <color rgb="FF2A3850"/>
      <name val="Arial"/>
      <charset val="1"/>
    </font>
    <font>
      <b/>
      <sz val="13"/>
      <color rgb="FF1B3068"/>
      <name val="Arial"/>
      <charset val="1"/>
    </font>
    <font>
      <b/>
      <sz val="16"/>
      <color rgb="FFFFFFFF"/>
      <name val="Arial"/>
      <charset val="1"/>
    </font>
    <font>
      <i/>
      <sz val="10"/>
      <color rgb="FFFFFFFF"/>
      <name val="Arial"/>
      <charset val="1"/>
    </font>
    <font>
      <b/>
      <sz val="11"/>
      <color rgb="FFFFFFFF"/>
      <name val="Arial"/>
      <charset val="1"/>
    </font>
    <font>
      <b/>
      <sz val="10"/>
      <color rgb="FF2A3850"/>
      <name val="Arial"/>
      <charset val="1"/>
    </font>
    <font>
      <sz val="10"/>
      <color rgb="FF2A3850"/>
      <name val="Arial"/>
      <charset val="1"/>
    </font>
    <font>
      <b/>
      <sz val="10"/>
      <color rgb="FF0D47A1"/>
      <name val="Arial"/>
      <charset val="1"/>
    </font>
    <font>
      <b/>
      <sz val="10"/>
      <color rgb="FF1B5E20"/>
      <name val="Arial"/>
      <charset val="1"/>
    </font>
    <font>
      <b/>
      <sz val="10"/>
      <color rgb="FFE65100"/>
      <name val="Arial"/>
      <charset val="1"/>
    </font>
    <font>
      <b/>
      <sz val="10"/>
      <color rgb="FFB71C1C"/>
      <name val="Arial"/>
      <charset val="1"/>
    </font>
    <font>
      <b/>
      <sz val="10"/>
      <name val="Arial"/>
      <charset val="1"/>
    </font>
    <font>
      <sz val="10"/>
      <name val="Arial"/>
      <charset val="1"/>
    </font>
    <font>
      <b/>
      <sz val="11"/>
      <name val="Arial"/>
      <charset val="1"/>
    </font>
    <font>
      <b/>
      <u/>
      <sz val="10"/>
      <color rgb="FF0563C1"/>
      <name val="Calibri"/>
      <charset val="1"/>
    </font>
    <font>
      <u/>
      <sz val="11"/>
      <color rgb="FF0563C1"/>
      <name val="Calibri"/>
      <charset val="1"/>
    </font>
    <font>
      <b/>
      <sz val="9"/>
      <color rgb="FFFFFFFF"/>
      <name val="Arial"/>
      <charset val="1"/>
    </font>
    <font>
      <b/>
      <sz val="9"/>
      <color rgb="FFFFFFFF"/>
      <name val="Arial"/>
      <family val="2"/>
      <charset val="1"/>
    </font>
    <font>
      <b/>
      <sz val="10"/>
      <color rgb="FFFFFFFF"/>
      <name val="Arial"/>
      <charset val="1"/>
    </font>
    <font>
      <b/>
      <sz val="10"/>
      <color rgb="FFFFFFFF"/>
      <name val="Arial"/>
      <family val="2"/>
      <charset val="1"/>
    </font>
    <font>
      <b/>
      <sz val="10"/>
      <color rgb="FF2A3850"/>
      <name val="Arial"/>
      <family val="2"/>
      <charset val="1"/>
    </font>
    <font>
      <i/>
      <sz val="10"/>
      <color rgb="FF999999"/>
      <name val="Arial"/>
      <charset val="1"/>
    </font>
    <font>
      <sz val="10"/>
      <color rgb="FF2A3850"/>
      <name val="Arial"/>
      <family val="2"/>
      <charset val="1"/>
    </font>
    <font>
      <b/>
      <sz val="10"/>
      <color rgb="FF000000"/>
      <name val="Arial"/>
      <charset val="1"/>
    </font>
    <font>
      <b/>
      <sz val="10"/>
      <color rgb="FF000000"/>
      <name val="Arial"/>
      <family val="2"/>
      <charset val="1"/>
    </font>
    <font>
      <b/>
      <sz val="12"/>
      <color rgb="FFFFFFFF"/>
      <name val="Arial"/>
      <family val="2"/>
      <charset val="1"/>
    </font>
    <font>
      <u/>
      <sz val="10"/>
      <color rgb="FF0563C1"/>
      <name val="Calibri"/>
      <charset val="1"/>
    </font>
    <font>
      <i/>
      <sz val="11"/>
      <color rgb="FF808080"/>
      <name val="Calibri"/>
      <charset val="1"/>
    </font>
    <font>
      <i/>
      <sz val="10"/>
      <color rgb="FFB45F06"/>
      <name val="Arial"/>
      <charset val="1"/>
    </font>
    <font>
      <i/>
      <sz val="11"/>
      <color rgb="FFB8860B"/>
      <name val="Calibri"/>
      <charset val="1"/>
    </font>
    <font>
      <sz val="11"/>
      <color rgb="FF000000"/>
      <name val="Calibri"/>
      <family val="2"/>
      <charset val="1"/>
    </font>
    <font>
      <b/>
      <sz val="11"/>
      <color rgb="FFB71C1C"/>
      <name val="Arial"/>
      <charset val="1"/>
    </font>
    <font>
      <b/>
      <sz val="12"/>
      <color rgb="FFFFFFFF"/>
      <name val="Arial"/>
      <charset val="1"/>
    </font>
    <font>
      <b/>
      <sz val="11"/>
      <color rgb="FFE65100"/>
      <name val="Arial"/>
      <charset val="1"/>
    </font>
    <font>
      <b/>
      <sz val="13"/>
      <color rgb="FFFFFFFF"/>
      <name val="Arial"/>
      <charset val="1"/>
    </font>
    <font>
      <i/>
      <sz val="9"/>
      <color rgb="FF78909C"/>
      <name val="Arial"/>
      <charset val="1"/>
    </font>
    <font>
      <b/>
      <sz val="10"/>
      <color rgb="FF78909C"/>
      <name val="Arial"/>
      <charset val="1"/>
    </font>
    <font>
      <b/>
      <sz val="14"/>
      <color rgb="FFFFFFFF"/>
      <name val="Arial"/>
      <charset val="1"/>
    </font>
    <font>
      <b/>
      <sz val="20"/>
      <color rgb="FF2A3850"/>
      <name val="Arial"/>
      <charset val="1"/>
    </font>
    <font>
      <b/>
      <sz val="16"/>
      <color rgb="FF2A3850"/>
      <name val="Arial"/>
      <charset val="1"/>
    </font>
    <font>
      <i/>
      <sz val="8"/>
      <color rgb="FF999999"/>
      <name val="Arial"/>
      <charset val="1"/>
    </font>
    <font>
      <b/>
      <sz val="9"/>
      <name val="Arial"/>
      <charset val="1"/>
    </font>
    <font>
      <sz val="9"/>
      <name val="Arial"/>
      <charset val="1"/>
    </font>
    <font>
      <b/>
      <sz val="10"/>
      <color rgb="FF1B3068"/>
      <name val="Arial"/>
      <charset val="1"/>
    </font>
    <font>
      <b/>
      <sz val="10"/>
      <color theme="0"/>
      <name val="Arial"/>
      <family val="2"/>
      <charset val="1"/>
    </font>
    <font>
      <b/>
      <sz val="10"/>
      <color rgb="FF000000"/>
      <name val="Arial"/>
      <family val="2"/>
    </font>
    <font>
      <b/>
      <u/>
      <sz val="10"/>
      <color rgb="FF2A3850"/>
      <name val="Arial"/>
      <family val="2"/>
      <charset val="1"/>
    </font>
    <font>
      <b/>
      <sz val="10"/>
      <color rgb="FF2A3850"/>
      <name val="Arial"/>
    </font>
    <font>
      <b/>
      <i/>
      <sz val="10"/>
      <color rgb="FF999999"/>
      <name val="Arial"/>
      <charset val="1"/>
    </font>
    <font>
      <b/>
      <i/>
      <sz val="10"/>
      <color rgb="FF000000"/>
      <name val="Arial"/>
      <charset val="1"/>
    </font>
    <font>
      <sz val="11"/>
      <color rgb="FFFF0000"/>
      <name val="Calibri"/>
      <family val="2"/>
      <charset val="1"/>
    </font>
  </fonts>
  <fills count="46">
    <fill>
      <patternFill patternType="none"/>
    </fill>
    <fill>
      <patternFill patternType="gray125"/>
    </fill>
    <fill>
      <patternFill patternType="solid">
        <fgColor rgb="FF0D1D47"/>
        <bgColor rgb="FF10243E"/>
      </patternFill>
    </fill>
    <fill>
      <patternFill patternType="solid">
        <fgColor rgb="FFE31920"/>
        <bgColor rgb="FFB71C1C"/>
      </patternFill>
    </fill>
    <fill>
      <patternFill patternType="solid">
        <fgColor rgb="FF1B3068"/>
        <bgColor rgb="FF2A3850"/>
      </patternFill>
    </fill>
    <fill>
      <patternFill patternType="solid">
        <fgColor rgb="FFF4F6F8"/>
        <bgColor rgb="FFF3F8FE"/>
      </patternFill>
    </fill>
    <fill>
      <patternFill patternType="solid">
        <fgColor rgb="FFEEF3FB"/>
        <bgColor rgb="FFF4F6F8"/>
      </patternFill>
    </fill>
    <fill>
      <patternFill patternType="solid">
        <fgColor rgb="FFE3F2FD"/>
        <bgColor rgb="FFEEF3FB"/>
      </patternFill>
    </fill>
    <fill>
      <patternFill patternType="solid">
        <fgColor rgb="FFE8F5E9"/>
        <bgColor rgb="FFF1F8E9"/>
      </patternFill>
    </fill>
    <fill>
      <patternFill patternType="solid">
        <fgColor rgb="FFFFF3E0"/>
        <bgColor rgb="FFFFF8E1"/>
      </patternFill>
    </fill>
    <fill>
      <patternFill patternType="solid">
        <fgColor rgb="FFFFEBEE"/>
        <bgColor rgb="FFFCE4EC"/>
      </patternFill>
    </fill>
    <fill>
      <patternFill patternType="solid">
        <fgColor rgb="FFFFFDE7"/>
        <bgColor rgb="FFFFF8E1"/>
      </patternFill>
    </fill>
    <fill>
      <patternFill patternType="solid">
        <fgColor rgb="FFFFFFFF"/>
        <bgColor rgb="FFFFFDE7"/>
      </patternFill>
    </fill>
    <fill>
      <patternFill patternType="solid">
        <fgColor rgb="FFFFF2CC"/>
        <bgColor rgb="FFFFF3E0"/>
      </patternFill>
    </fill>
    <fill>
      <patternFill patternType="solid">
        <fgColor rgb="FFC00000"/>
        <bgColor rgb="FFB71C1C"/>
      </patternFill>
    </fill>
    <fill>
      <patternFill patternType="solid">
        <fgColor rgb="FF70AD47"/>
        <bgColor rgb="FF9BBB59"/>
      </patternFill>
    </fill>
    <fill>
      <patternFill patternType="solid">
        <fgColor rgb="FFFFC000"/>
        <bgColor rgb="FFFFFF00"/>
      </patternFill>
    </fill>
    <fill>
      <patternFill patternType="solid">
        <fgColor rgb="FFED7D31"/>
        <bgColor rgb="FFB8860B"/>
      </patternFill>
    </fill>
    <fill>
      <patternFill patternType="solid">
        <fgColor rgb="FFFFFF00"/>
        <bgColor rgb="FFFFC000"/>
      </patternFill>
    </fill>
    <fill>
      <patternFill patternType="solid">
        <fgColor rgb="FFF3F8FE"/>
        <bgColor rgb="FFF4F6F8"/>
      </patternFill>
    </fill>
    <fill>
      <patternFill patternType="solid">
        <fgColor rgb="FFFFF8E1"/>
        <bgColor rgb="FFFFF3E0"/>
      </patternFill>
    </fill>
    <fill>
      <patternFill patternType="solid">
        <fgColor rgb="FFE2EFDA"/>
        <bgColor rgb="FFE8F5E9"/>
      </patternFill>
    </fill>
    <fill>
      <patternFill patternType="solid">
        <fgColor rgb="FFDCE6F1"/>
        <bgColor rgb="FFDDE3E7"/>
      </patternFill>
    </fill>
    <fill>
      <patternFill patternType="solid">
        <fgColor rgb="FFFCE4D6"/>
        <bgColor rgb="FFFDE0E1"/>
      </patternFill>
    </fill>
    <fill>
      <patternFill patternType="solid">
        <fgColor rgb="FFEDEDED"/>
        <bgColor rgb="FFEEF3FB"/>
      </patternFill>
    </fill>
    <fill>
      <patternFill patternType="solid">
        <fgColor rgb="FF1B5E20"/>
        <bgColor rgb="FF33691E"/>
      </patternFill>
    </fill>
    <fill>
      <patternFill patternType="solid">
        <fgColor rgb="FFE65100"/>
        <bgColor rgb="FFB45F06"/>
      </patternFill>
    </fill>
    <fill>
      <patternFill patternType="solid">
        <fgColor rgb="FF0D47A1"/>
        <bgColor rgb="FF0563C1"/>
      </patternFill>
    </fill>
    <fill>
      <patternFill patternType="solid">
        <fgColor rgb="FFB71C1C"/>
        <bgColor rgb="FFC00000"/>
      </patternFill>
    </fill>
    <fill>
      <patternFill patternType="solid">
        <fgColor rgb="FF880E4F"/>
        <bgColor rgb="FF800000"/>
      </patternFill>
    </fill>
    <fill>
      <patternFill patternType="solid">
        <fgColor rgb="FFFCE4EC"/>
        <bgColor rgb="FFFDE0E1"/>
      </patternFill>
    </fill>
    <fill>
      <patternFill patternType="solid">
        <fgColor rgb="FFFDE0E1"/>
        <bgColor rgb="FFFCE4D6"/>
      </patternFill>
    </fill>
    <fill>
      <patternFill patternType="solid">
        <fgColor rgb="FF33691E"/>
        <bgColor rgb="FF1B5E20"/>
      </patternFill>
    </fill>
    <fill>
      <patternFill patternType="solid">
        <fgColor rgb="FFF1F8E9"/>
        <bgColor rgb="FFE8F5E9"/>
      </patternFill>
    </fill>
    <fill>
      <patternFill patternType="solid">
        <fgColor rgb="FFB45F06"/>
        <bgColor rgb="FFC0504D"/>
      </patternFill>
    </fill>
    <fill>
      <patternFill patternType="solid">
        <fgColor theme="3" tint="-0.499984740745262"/>
        <bgColor rgb="FF0D1D47"/>
      </patternFill>
    </fill>
    <fill>
      <patternFill patternType="solid">
        <fgColor rgb="FFFFF2CC"/>
        <bgColor rgb="FFFCE4D6"/>
      </patternFill>
    </fill>
    <fill>
      <patternFill patternType="solid">
        <fgColor theme="7" tint="0.59999389629810485"/>
        <bgColor rgb="FFFFF2CC"/>
      </patternFill>
    </fill>
    <fill>
      <patternFill patternType="solid">
        <fgColor rgb="FFEDEDED"/>
        <bgColor rgb="FFF2F2F2"/>
      </patternFill>
    </fill>
    <fill>
      <patternFill patternType="solid">
        <fgColor rgb="FFFFFF00"/>
        <bgColor indexed="64"/>
      </patternFill>
    </fill>
    <fill>
      <patternFill patternType="solid">
        <fgColor rgb="FF92D050"/>
        <bgColor indexed="64"/>
      </patternFill>
    </fill>
    <fill>
      <patternFill patternType="solid">
        <fgColor rgb="FF00B050"/>
        <bgColor indexed="64"/>
      </patternFill>
    </fill>
    <fill>
      <patternFill patternType="solid">
        <fgColor theme="9" tint="0.59999389629810485"/>
        <bgColor indexed="64"/>
      </patternFill>
    </fill>
    <fill>
      <patternFill patternType="solid">
        <fgColor rgb="FFFFC000"/>
        <bgColor indexed="64"/>
      </patternFill>
    </fill>
    <fill>
      <patternFill patternType="solid">
        <fgColor rgb="FFFF0000"/>
        <bgColor indexed="64"/>
      </patternFill>
    </fill>
    <fill>
      <patternFill patternType="solid">
        <fgColor theme="9" tint="0.79998168889431442"/>
        <bgColor indexed="64"/>
      </patternFill>
    </fill>
  </fills>
  <borders count="14">
    <border>
      <left/>
      <right/>
      <top/>
      <bottom/>
      <diagonal/>
    </border>
    <border>
      <left style="thin">
        <color rgb="FFDDE3E7"/>
      </left>
      <right style="thin">
        <color rgb="FFDDE3E7"/>
      </right>
      <top style="thin">
        <color rgb="FFDDE3E7"/>
      </top>
      <bottom style="thin">
        <color rgb="FFDDE3E7"/>
      </bottom>
      <diagonal/>
    </border>
    <border>
      <left style="thin">
        <color rgb="FFDDE3E7"/>
      </left>
      <right style="thin">
        <color rgb="FFDDE3E7"/>
      </right>
      <top/>
      <bottom/>
      <diagonal/>
    </border>
    <border>
      <left style="thin">
        <color rgb="FFBFBFBF"/>
      </left>
      <right style="thin">
        <color rgb="FFBFBFBF"/>
      </right>
      <top style="thin">
        <color rgb="FFBFBFBF"/>
      </top>
      <bottom style="thin">
        <color rgb="FFBFBFBF"/>
      </bottom>
      <diagonal/>
    </border>
    <border>
      <left/>
      <right style="thin">
        <color rgb="FFDDE3E7"/>
      </right>
      <top style="thin">
        <color rgb="FFDDE3E7"/>
      </top>
      <bottom style="thin">
        <color rgb="FFDDE3E7"/>
      </bottom>
      <diagonal/>
    </border>
    <border>
      <left style="thin">
        <color rgb="FFDDE3E7"/>
      </left>
      <right/>
      <top/>
      <bottom/>
      <diagonal/>
    </border>
    <border>
      <left style="thin">
        <color rgb="FFDDE3E7"/>
      </left>
      <right style="thin">
        <color rgb="FFDDE3E7"/>
      </right>
      <top/>
      <bottom style="thin">
        <color rgb="FFDDE3E7"/>
      </bottom>
      <diagonal/>
    </border>
    <border>
      <left/>
      <right style="thin">
        <color rgb="FFDDE3E7"/>
      </right>
      <top/>
      <bottom style="thin">
        <color rgb="FFDDE3E7"/>
      </bottom>
      <diagonal/>
    </border>
    <border>
      <left/>
      <right style="thin">
        <color rgb="FFBFBFBF"/>
      </right>
      <top style="thin">
        <color rgb="FFBFBFBF"/>
      </top>
      <bottom style="thin">
        <color rgb="FFBFBFBF"/>
      </bottom>
      <diagonal/>
    </border>
    <border>
      <left/>
      <right/>
      <top style="thin">
        <color rgb="FF95B3D7"/>
      </top>
      <bottom style="thin">
        <color rgb="FF95B3D7"/>
      </bottom>
      <diagonal/>
    </border>
    <border>
      <left style="thin">
        <color rgb="FFBFBFBF"/>
      </left>
      <right style="thin">
        <color rgb="FFBFBFBF"/>
      </right>
      <top/>
      <bottom style="thin">
        <color rgb="FFBFBFBF"/>
      </bottom>
      <diagonal/>
    </border>
    <border>
      <left/>
      <right style="thin">
        <color rgb="FFBFBFBF"/>
      </right>
      <top/>
      <bottom style="thin">
        <color rgb="FFBFBFBF"/>
      </bottom>
      <diagonal/>
    </border>
    <border>
      <left style="thin">
        <color rgb="FFDDE3E7"/>
      </left>
      <right/>
      <top style="thin">
        <color rgb="FFDDE3E7"/>
      </top>
      <bottom style="thin">
        <color rgb="FFDDE3E7"/>
      </bottom>
      <diagonal/>
    </border>
    <border>
      <left/>
      <right/>
      <top style="thin">
        <color rgb="FFDDE3E7"/>
      </top>
      <bottom style="thin">
        <color rgb="FFDDE3E7"/>
      </bottom>
      <diagonal/>
    </border>
  </borders>
  <cellStyleXfs count="3">
    <xf numFmtId="0" fontId="0" fillId="0" borderId="0"/>
    <xf numFmtId="0" fontId="1" fillId="0" borderId="0"/>
    <xf numFmtId="0" fontId="1" fillId="0" borderId="0"/>
  </cellStyleXfs>
  <cellXfs count="222">
    <xf numFmtId="0" fontId="0" fillId="0" borderId="0" xfId="0"/>
    <xf numFmtId="0" fontId="2" fillId="0" borderId="0" xfId="0" applyFont="1" applyAlignment="1">
      <alignment horizontal="center" vertical="center"/>
    </xf>
    <xf numFmtId="0" fontId="9" fillId="0" borderId="1" xfId="0" applyFont="1" applyBorder="1" applyAlignment="1">
      <alignment horizontal="left" vertical="center" wrapText="1"/>
    </xf>
    <xf numFmtId="0" fontId="8" fillId="6" borderId="1" xfId="0" applyFont="1" applyFill="1" applyBorder="1" applyAlignment="1">
      <alignment horizontal="left" vertical="center"/>
    </xf>
    <xf numFmtId="0" fontId="10" fillId="7" borderId="1" xfId="0" applyFont="1" applyFill="1" applyBorder="1" applyAlignment="1">
      <alignment horizontal="left" vertical="center"/>
    </xf>
    <xf numFmtId="0" fontId="11" fillId="8" borderId="1" xfId="0" applyFont="1" applyFill="1" applyBorder="1" applyAlignment="1">
      <alignment horizontal="left" vertical="center"/>
    </xf>
    <xf numFmtId="0" fontId="12" fillId="9" borderId="1" xfId="0" applyFont="1" applyFill="1" applyBorder="1" applyAlignment="1">
      <alignment horizontal="left" vertical="center"/>
    </xf>
    <xf numFmtId="0" fontId="13" fillId="10" borderId="1" xfId="0" applyFont="1" applyFill="1" applyBorder="1" applyAlignment="1">
      <alignment horizontal="left" vertical="center"/>
    </xf>
    <xf numFmtId="0" fontId="15" fillId="0" borderId="0" xfId="0" applyFont="1"/>
    <xf numFmtId="0" fontId="16" fillId="0" borderId="0" xfId="0" applyFont="1"/>
    <xf numFmtId="0" fontId="15" fillId="0" borderId="0" xfId="0" applyFont="1" applyAlignment="1">
      <alignment vertical="top" wrapText="1"/>
    </xf>
    <xf numFmtId="0" fontId="17" fillId="0" borderId="0" xfId="0" applyFont="1"/>
    <xf numFmtId="0" fontId="18" fillId="0" borderId="0" xfId="0" applyFont="1"/>
    <xf numFmtId="0" fontId="18" fillId="0" borderId="0" xfId="0" applyFont="1" applyAlignment="1">
      <alignment vertical="top" wrapText="1"/>
    </xf>
    <xf numFmtId="0" fontId="0" fillId="0" borderId="0" xfId="0" applyAlignment="1">
      <alignment horizontal="center" vertical="center" wrapText="1"/>
    </xf>
    <xf numFmtId="0" fontId="21" fillId="2" borderId="1" xfId="0" applyFont="1" applyFill="1" applyBorder="1" applyAlignment="1">
      <alignment horizontal="center" vertical="center" wrapText="1"/>
    </xf>
    <xf numFmtId="0" fontId="22" fillId="2" borderId="1" xfId="0" applyFont="1" applyFill="1" applyBorder="1" applyAlignment="1">
      <alignment horizontal="center" vertical="center" wrapText="1"/>
    </xf>
    <xf numFmtId="0" fontId="22" fillId="2" borderId="2" xfId="0" applyFont="1" applyFill="1" applyBorder="1" applyAlignment="1">
      <alignment horizontal="center" vertical="center" wrapText="1"/>
    </xf>
    <xf numFmtId="0" fontId="23" fillId="11" borderId="1" xfId="0" applyFont="1" applyFill="1" applyBorder="1" applyAlignment="1">
      <alignment horizontal="center" vertical="center" wrapText="1"/>
    </xf>
    <xf numFmtId="0" fontId="24" fillId="11" borderId="1" xfId="0" applyFont="1" applyFill="1" applyBorder="1" applyAlignment="1">
      <alignment horizontal="center" vertical="center" wrapText="1"/>
    </xf>
    <xf numFmtId="0" fontId="15" fillId="11" borderId="1" xfId="0" applyFont="1" applyFill="1" applyBorder="1" applyAlignment="1">
      <alignment horizontal="center" vertical="center" wrapText="1"/>
    </xf>
    <xf numFmtId="0" fontId="1" fillId="11" borderId="1" xfId="0" applyFont="1" applyFill="1" applyBorder="1" applyAlignment="1">
      <alignment horizontal="center" vertical="center" wrapText="1"/>
    </xf>
    <xf numFmtId="0" fontId="25" fillId="11" borderId="1" xfId="0" applyFont="1" applyFill="1" applyBorder="1" applyAlignment="1">
      <alignment horizontal="center" vertical="center" wrapText="1"/>
    </xf>
    <xf numFmtId="164" fontId="24" fillId="11" borderId="1" xfId="0" applyNumberFormat="1" applyFont="1" applyFill="1" applyBorder="1" applyAlignment="1">
      <alignment horizontal="center" vertical="center" wrapText="1"/>
    </xf>
    <xf numFmtId="3" fontId="9" fillId="11" borderId="1" xfId="0" applyNumberFormat="1" applyFont="1" applyFill="1" applyBorder="1" applyAlignment="1">
      <alignment horizontal="center" vertical="center" wrapText="1"/>
    </xf>
    <xf numFmtId="165" fontId="9" fillId="11" borderId="1" xfId="0" applyNumberFormat="1" applyFont="1" applyFill="1" applyBorder="1" applyAlignment="1">
      <alignment horizontal="center" vertical="center" wrapText="1"/>
    </xf>
    <xf numFmtId="165" fontId="26" fillId="12" borderId="1" xfId="0" applyNumberFormat="1" applyFont="1" applyFill="1" applyBorder="1" applyAlignment="1">
      <alignment horizontal="center" vertical="center" wrapText="1"/>
    </xf>
    <xf numFmtId="1" fontId="9" fillId="11" borderId="1" xfId="0" applyNumberFormat="1" applyFont="1" applyFill="1" applyBorder="1" applyAlignment="1">
      <alignment horizontal="center" vertical="center" wrapText="1"/>
    </xf>
    <xf numFmtId="0" fontId="8" fillId="12" borderId="1" xfId="0" applyFont="1" applyFill="1" applyBorder="1" applyAlignment="1">
      <alignment horizontal="center" vertical="center" wrapText="1"/>
    </xf>
    <xf numFmtId="164" fontId="9" fillId="11" borderId="1" xfId="0" applyNumberFormat="1" applyFont="1" applyFill="1" applyBorder="1" applyAlignment="1">
      <alignment horizontal="center" vertical="center" wrapText="1"/>
    </xf>
    <xf numFmtId="0" fontId="27" fillId="13" borderId="3" xfId="0" applyFont="1" applyFill="1" applyBorder="1" applyAlignment="1">
      <alignment horizontal="center" vertical="center" wrapText="1"/>
    </xf>
    <xf numFmtId="0" fontId="28" fillId="14" borderId="3" xfId="0" applyFont="1" applyFill="1" applyBorder="1" applyAlignment="1">
      <alignment horizontal="center" vertical="center" wrapText="1"/>
    </xf>
    <xf numFmtId="0" fontId="29" fillId="0" borderId="0" xfId="0" applyFont="1"/>
    <xf numFmtId="165" fontId="26" fillId="5" borderId="1" xfId="0" applyNumberFormat="1" applyFont="1" applyFill="1" applyBorder="1" applyAlignment="1">
      <alignment horizontal="center" vertical="center" wrapText="1"/>
    </xf>
    <xf numFmtId="0" fontId="8" fillId="5" borderId="1" xfId="0" applyFont="1" applyFill="1" applyBorder="1" applyAlignment="1">
      <alignment horizontal="center" vertical="center" wrapText="1"/>
    </xf>
    <xf numFmtId="1" fontId="24" fillId="11" borderId="1" xfId="0" applyNumberFormat="1" applyFont="1" applyFill="1" applyBorder="1" applyAlignment="1">
      <alignment horizontal="center" vertical="center" wrapText="1"/>
    </xf>
    <xf numFmtId="0" fontId="28" fillId="15" borderId="3" xfId="0" applyFont="1" applyFill="1" applyBorder="1" applyAlignment="1">
      <alignment horizontal="center" vertical="center" wrapText="1"/>
    </xf>
    <xf numFmtId="0" fontId="30" fillId="0" borderId="0" xfId="0" applyFont="1"/>
    <xf numFmtId="0" fontId="28" fillId="16" borderId="3" xfId="0" applyFont="1" applyFill="1" applyBorder="1" applyAlignment="1">
      <alignment horizontal="center" vertical="center" wrapText="1"/>
    </xf>
    <xf numFmtId="1" fontId="15" fillId="11" borderId="1" xfId="0" applyNumberFormat="1" applyFont="1" applyFill="1" applyBorder="1" applyAlignment="1">
      <alignment horizontal="center" vertical="center" wrapText="1"/>
    </xf>
    <xf numFmtId="1" fontId="31" fillId="11" borderId="1" xfId="0" applyNumberFormat="1" applyFont="1" applyFill="1" applyBorder="1" applyAlignment="1">
      <alignment horizontal="center" vertical="center" wrapText="1"/>
    </xf>
    <xf numFmtId="0" fontId="31" fillId="11" borderId="1" xfId="0" applyFont="1" applyFill="1" applyBorder="1" applyAlignment="1">
      <alignment horizontal="center" vertical="center" wrapText="1"/>
    </xf>
    <xf numFmtId="0" fontId="32" fillId="0" borderId="0" xfId="0" applyFont="1"/>
    <xf numFmtId="0" fontId="23" fillId="11" borderId="4" xfId="0" applyFont="1" applyFill="1" applyBorder="1" applyAlignment="1">
      <alignment horizontal="center" vertical="center" wrapText="1"/>
    </xf>
    <xf numFmtId="0" fontId="25" fillId="11" borderId="4" xfId="0" applyFont="1" applyFill="1" applyBorder="1" applyAlignment="1">
      <alignment horizontal="center" vertical="center" wrapText="1"/>
    </xf>
    <xf numFmtId="0" fontId="24" fillId="11" borderId="4" xfId="0" applyFont="1" applyFill="1" applyBorder="1" applyAlignment="1">
      <alignment horizontal="center" vertical="center" wrapText="1"/>
    </xf>
    <xf numFmtId="0" fontId="15" fillId="11" borderId="4" xfId="0" applyFont="1" applyFill="1" applyBorder="1" applyAlignment="1">
      <alignment horizontal="center" vertical="center" wrapText="1"/>
    </xf>
    <xf numFmtId="165" fontId="25" fillId="11" borderId="4" xfId="0" applyNumberFormat="1" applyFont="1" applyFill="1" applyBorder="1" applyAlignment="1">
      <alignment horizontal="center" vertical="center" wrapText="1"/>
    </xf>
    <xf numFmtId="0" fontId="27" fillId="12" borderId="4" xfId="0" applyFont="1" applyFill="1" applyBorder="1" applyAlignment="1">
      <alignment horizontal="center" vertical="center" wrapText="1"/>
    </xf>
    <xf numFmtId="0" fontId="9" fillId="11" borderId="2" xfId="0" applyFont="1" applyFill="1" applyBorder="1" applyAlignment="1">
      <alignment horizontal="center" vertical="center" wrapText="1"/>
    </xf>
    <xf numFmtId="0" fontId="24" fillId="0" borderId="0" xfId="0" applyFont="1" applyAlignment="1">
      <alignment horizontal="center" vertical="center" wrapText="1"/>
    </xf>
    <xf numFmtId="0" fontId="24" fillId="11" borderId="0" xfId="0" applyFont="1" applyFill="1" applyAlignment="1">
      <alignment horizontal="center" vertical="center" wrapText="1"/>
    </xf>
    <xf numFmtId="165" fontId="0" fillId="0" borderId="0" xfId="0" applyNumberFormat="1" applyAlignment="1">
      <alignment horizontal="center" vertical="center" wrapText="1"/>
    </xf>
    <xf numFmtId="0" fontId="25" fillId="11" borderId="2" xfId="0" applyFont="1" applyFill="1" applyBorder="1" applyAlignment="1">
      <alignment horizontal="center" vertical="center" wrapText="1"/>
    </xf>
    <xf numFmtId="0" fontId="15" fillId="0" borderId="0" xfId="0" applyFont="1" applyAlignment="1">
      <alignment horizontal="center" vertical="center" wrapText="1"/>
    </xf>
    <xf numFmtId="0" fontId="31" fillId="0" borderId="0" xfId="0" applyFont="1" applyAlignment="1">
      <alignment horizontal="center" vertical="center" wrapText="1"/>
    </xf>
    <xf numFmtId="0" fontId="25" fillId="11" borderId="5" xfId="0" applyFont="1" applyFill="1" applyBorder="1" applyAlignment="1">
      <alignment horizontal="center" vertical="center" wrapText="1"/>
    </xf>
    <xf numFmtId="0" fontId="25" fillId="11" borderId="0" xfId="0" applyFont="1" applyFill="1" applyAlignment="1">
      <alignment horizontal="center" vertical="center" wrapText="1"/>
    </xf>
    <xf numFmtId="0" fontId="28" fillId="17" borderId="3" xfId="0" applyFont="1" applyFill="1" applyBorder="1" applyAlignment="1">
      <alignment horizontal="center" vertical="center" wrapText="1"/>
    </xf>
    <xf numFmtId="0" fontId="33" fillId="0" borderId="0" xfId="0" applyFont="1" applyAlignment="1">
      <alignment horizontal="center" vertical="center" wrapText="1"/>
    </xf>
    <xf numFmtId="165" fontId="33" fillId="0" borderId="0" xfId="0" applyNumberFormat="1" applyFont="1" applyAlignment="1">
      <alignment horizontal="center" vertical="center" wrapText="1"/>
    </xf>
    <xf numFmtId="0" fontId="23" fillId="11" borderId="6" xfId="0" applyFont="1" applyFill="1" applyBorder="1" applyAlignment="1">
      <alignment horizontal="center" vertical="center" wrapText="1"/>
    </xf>
    <xf numFmtId="0" fontId="23" fillId="11" borderId="7" xfId="0" applyFont="1" applyFill="1" applyBorder="1" applyAlignment="1">
      <alignment horizontal="center" vertical="center" wrapText="1"/>
    </xf>
    <xf numFmtId="0" fontId="25" fillId="11" borderId="7" xfId="0" applyFont="1" applyFill="1" applyBorder="1" applyAlignment="1">
      <alignment horizontal="center" vertical="center" wrapText="1"/>
    </xf>
    <xf numFmtId="0" fontId="9" fillId="11" borderId="7" xfId="0" applyFont="1" applyFill="1" applyBorder="1" applyAlignment="1">
      <alignment horizontal="center" vertical="center" wrapText="1"/>
    </xf>
    <xf numFmtId="0" fontId="24" fillId="11" borderId="7" xfId="0" applyFont="1" applyFill="1" applyBorder="1" applyAlignment="1">
      <alignment horizontal="center" vertical="center" wrapText="1"/>
    </xf>
    <xf numFmtId="0" fontId="15" fillId="11" borderId="7" xfId="0" applyFont="1" applyFill="1" applyBorder="1" applyAlignment="1">
      <alignment horizontal="center" vertical="center" wrapText="1"/>
    </xf>
    <xf numFmtId="0" fontId="25" fillId="11" borderId="6" xfId="0" applyFont="1" applyFill="1" applyBorder="1" applyAlignment="1">
      <alignment horizontal="center" vertical="center" wrapText="1"/>
    </xf>
    <xf numFmtId="0" fontId="24" fillId="11" borderId="6" xfId="0" applyFont="1" applyFill="1" applyBorder="1" applyAlignment="1">
      <alignment horizontal="center" vertical="center" wrapText="1"/>
    </xf>
    <xf numFmtId="0" fontId="9" fillId="11" borderId="6" xfId="0" applyFont="1" applyFill="1" applyBorder="1" applyAlignment="1">
      <alignment horizontal="center" vertical="center" wrapText="1"/>
    </xf>
    <xf numFmtId="14" fontId="24" fillId="11" borderId="6" xfId="0" applyNumberFormat="1" applyFont="1" applyFill="1" applyBorder="1" applyAlignment="1">
      <alignment horizontal="center" vertical="center" wrapText="1"/>
    </xf>
    <xf numFmtId="14" fontId="24" fillId="0" borderId="0" xfId="0" applyNumberFormat="1" applyFont="1" applyAlignment="1">
      <alignment horizontal="center" vertical="center" wrapText="1"/>
    </xf>
    <xf numFmtId="0" fontId="23" fillId="18" borderId="1" xfId="0" applyFont="1" applyFill="1" applyBorder="1" applyAlignment="1">
      <alignment horizontal="center" vertical="center" wrapText="1"/>
    </xf>
    <xf numFmtId="0" fontId="9" fillId="11" borderId="0" xfId="0" applyFont="1" applyFill="1" applyAlignment="1">
      <alignment horizontal="center" vertical="center" wrapText="1"/>
    </xf>
    <xf numFmtId="0" fontId="9" fillId="11" borderId="4" xfId="0" applyFont="1" applyFill="1" applyBorder="1" applyAlignment="1">
      <alignment horizontal="center" vertical="center" wrapText="1"/>
    </xf>
    <xf numFmtId="0" fontId="9" fillId="18" borderId="1" xfId="0" applyFont="1" applyFill="1" applyBorder="1" applyAlignment="1">
      <alignment horizontal="center" vertical="center" wrapText="1"/>
    </xf>
    <xf numFmtId="0" fontId="1" fillId="11" borderId="0" xfId="0" applyFont="1" applyFill="1" applyAlignment="1">
      <alignment horizontal="center" vertical="center" wrapText="1"/>
    </xf>
    <xf numFmtId="0" fontId="10" fillId="19" borderId="0" xfId="0" applyFont="1" applyFill="1" applyAlignment="1">
      <alignment horizontal="center" vertical="center" wrapText="1"/>
    </xf>
    <xf numFmtId="0" fontId="34" fillId="10" borderId="0" xfId="0" applyFont="1" applyFill="1" applyAlignment="1">
      <alignment horizontal="center" vertical="center" wrapText="1"/>
    </xf>
    <xf numFmtId="0" fontId="26" fillId="13" borderId="3" xfId="0" applyFont="1" applyFill="1" applyBorder="1" applyAlignment="1">
      <alignment horizontal="center" vertical="center" wrapText="1"/>
    </xf>
    <xf numFmtId="0" fontId="35" fillId="16" borderId="8" xfId="0" applyFont="1" applyFill="1" applyBorder="1" applyAlignment="1">
      <alignment horizontal="center" vertical="center" wrapText="1"/>
    </xf>
    <xf numFmtId="0" fontId="33" fillId="18" borderId="9" xfId="0" applyFont="1" applyFill="1" applyBorder="1" applyAlignment="1">
      <alignment horizontal="center" vertical="center" wrapText="1"/>
    </xf>
    <xf numFmtId="0" fontId="26" fillId="13" borderId="10" xfId="0" applyFont="1" applyFill="1" applyBorder="1" applyAlignment="1">
      <alignment horizontal="center" vertical="center" wrapText="1"/>
    </xf>
    <xf numFmtId="0" fontId="35" fillId="16" borderId="11" xfId="0" applyFont="1" applyFill="1" applyBorder="1" applyAlignment="1">
      <alignment horizontal="center" vertical="center" wrapText="1"/>
    </xf>
    <xf numFmtId="0" fontId="36" fillId="9" borderId="0" xfId="0" applyFont="1" applyFill="1" applyAlignment="1">
      <alignment horizontal="center" vertical="center" wrapText="1"/>
    </xf>
    <xf numFmtId="0" fontId="8" fillId="11" borderId="6" xfId="0" applyFont="1" applyFill="1" applyBorder="1" applyAlignment="1">
      <alignment horizontal="center" vertical="center" wrapText="1"/>
    </xf>
    <xf numFmtId="0" fontId="12" fillId="20" borderId="0" xfId="0" applyFont="1" applyFill="1" applyAlignment="1">
      <alignment horizontal="center" vertical="center" wrapText="1"/>
    </xf>
    <xf numFmtId="0" fontId="26" fillId="21" borderId="10" xfId="0" applyFont="1" applyFill="1" applyBorder="1" applyAlignment="1">
      <alignment horizontal="center" vertical="center" wrapText="1"/>
    </xf>
    <xf numFmtId="0" fontId="35" fillId="17" borderId="11" xfId="0" applyFont="1" applyFill="1" applyBorder="1" applyAlignment="1">
      <alignment horizontal="center" vertical="center" wrapText="1"/>
    </xf>
    <xf numFmtId="0" fontId="33" fillId="22" borderId="9" xfId="0" applyFont="1" applyFill="1" applyBorder="1" applyAlignment="1">
      <alignment horizontal="center" vertical="center"/>
    </xf>
    <xf numFmtId="0" fontId="27" fillId="21" borderId="3" xfId="0" applyFont="1" applyFill="1" applyBorder="1" applyAlignment="1">
      <alignment horizontal="center" vertical="center" wrapText="1"/>
    </xf>
    <xf numFmtId="0" fontId="0" fillId="18" borderId="0" xfId="0" applyFill="1" applyAlignment="1">
      <alignment horizontal="center" vertical="center" wrapText="1"/>
    </xf>
    <xf numFmtId="0" fontId="27" fillId="23" borderId="3" xfId="0" applyFont="1" applyFill="1" applyBorder="1" applyAlignment="1">
      <alignment horizontal="center" vertical="center" wrapText="1"/>
    </xf>
    <xf numFmtId="0" fontId="27" fillId="24" borderId="3" xfId="0" applyFont="1" applyFill="1" applyBorder="1" applyAlignment="1">
      <alignment horizontal="center" vertical="center" wrapText="1"/>
    </xf>
    <xf numFmtId="0" fontId="26" fillId="24" borderId="3" xfId="0" applyFont="1" applyFill="1" applyBorder="1" applyAlignment="1">
      <alignment horizontal="center" vertical="center" wrapText="1"/>
    </xf>
    <xf numFmtId="0" fontId="35" fillId="16" borderId="3" xfId="0" applyFont="1" applyFill="1" applyBorder="1" applyAlignment="1">
      <alignment horizontal="center" vertical="center" wrapText="1"/>
    </xf>
    <xf numFmtId="0" fontId="35" fillId="17" borderId="3" xfId="0" applyFont="1" applyFill="1" applyBorder="1" applyAlignment="1">
      <alignment horizontal="center" vertical="center" wrapText="1"/>
    </xf>
    <xf numFmtId="0" fontId="35" fillId="14" borderId="3" xfId="0" applyFont="1" applyFill="1" applyBorder="1" applyAlignment="1">
      <alignment horizontal="center" vertical="center" wrapText="1"/>
    </xf>
    <xf numFmtId="0" fontId="8" fillId="6" borderId="1" xfId="0" applyFont="1" applyFill="1" applyBorder="1"/>
    <xf numFmtId="0" fontId="19" fillId="28" borderId="1" xfId="0" applyFont="1" applyFill="1" applyBorder="1" applyAlignment="1">
      <alignment horizontal="center" vertical="center" wrapText="1"/>
    </xf>
    <xf numFmtId="1" fontId="41" fillId="10" borderId="1" xfId="0" applyNumberFormat="1" applyFont="1" applyFill="1" applyBorder="1" applyAlignment="1">
      <alignment horizontal="center" vertical="center"/>
    </xf>
    <xf numFmtId="165" fontId="41" fillId="10" borderId="1" xfId="0" applyNumberFormat="1" applyFont="1" applyFill="1" applyBorder="1" applyAlignment="1">
      <alignment horizontal="center" vertical="center"/>
    </xf>
    <xf numFmtId="0" fontId="19" fillId="3" borderId="1" xfId="0" applyFont="1" applyFill="1" applyBorder="1" applyAlignment="1">
      <alignment horizontal="center" vertical="center" wrapText="1"/>
    </xf>
    <xf numFmtId="165" fontId="41" fillId="31" borderId="1" xfId="0" applyNumberFormat="1" applyFont="1" applyFill="1" applyBorder="1" applyAlignment="1">
      <alignment horizontal="center" vertical="center"/>
    </xf>
    <xf numFmtId="0" fontId="19" fillId="32" borderId="1" xfId="0" applyFont="1" applyFill="1" applyBorder="1" applyAlignment="1">
      <alignment horizontal="center" vertical="center" wrapText="1"/>
    </xf>
    <xf numFmtId="1" fontId="41" fillId="33" borderId="1" xfId="0" applyNumberFormat="1" applyFont="1" applyFill="1" applyBorder="1" applyAlignment="1">
      <alignment horizontal="center" vertical="center"/>
    </xf>
    <xf numFmtId="0" fontId="21" fillId="4" borderId="1" xfId="0" applyFont="1" applyFill="1" applyBorder="1" applyAlignment="1">
      <alignment horizontal="center" vertical="center"/>
    </xf>
    <xf numFmtId="1" fontId="41" fillId="6" borderId="1" xfId="0" applyNumberFormat="1" applyFont="1" applyFill="1" applyBorder="1" applyAlignment="1">
      <alignment horizontal="center" vertical="center"/>
    </xf>
    <xf numFmtId="0" fontId="43" fillId="0" borderId="0" xfId="0" applyFont="1"/>
    <xf numFmtId="0" fontId="44" fillId="0" borderId="0" xfId="0" applyFont="1"/>
    <xf numFmtId="0" fontId="45" fillId="0" borderId="0" xfId="0" applyFont="1"/>
    <xf numFmtId="1" fontId="45" fillId="0" borderId="0" xfId="0" applyNumberFormat="1" applyFont="1"/>
    <xf numFmtId="0" fontId="19" fillId="4" borderId="1" xfId="0" applyFont="1" applyFill="1" applyBorder="1" applyAlignment="1">
      <alignment horizontal="center" vertical="center"/>
    </xf>
    <xf numFmtId="0" fontId="46" fillId="6" borderId="1" xfId="0" applyFont="1" applyFill="1" applyBorder="1"/>
    <xf numFmtId="0" fontId="9" fillId="6" borderId="1" xfId="0" applyFont="1" applyFill="1" applyBorder="1" applyAlignment="1">
      <alignment horizontal="center" vertical="center"/>
    </xf>
    <xf numFmtId="0" fontId="8" fillId="12" borderId="1" xfId="0" applyFont="1" applyFill="1" applyBorder="1" applyAlignment="1">
      <alignment horizontal="left" vertical="center" wrapText="1"/>
    </xf>
    <xf numFmtId="0" fontId="9" fillId="12" borderId="1" xfId="0" applyFont="1" applyFill="1" applyBorder="1" applyAlignment="1">
      <alignment horizontal="left" vertical="center" wrapText="1"/>
    </xf>
    <xf numFmtId="0" fontId="8" fillId="5" borderId="1" xfId="0" applyFont="1" applyFill="1" applyBorder="1" applyAlignment="1">
      <alignment horizontal="left" vertical="center" wrapText="1"/>
    </xf>
    <xf numFmtId="0" fontId="9" fillId="5" borderId="1" xfId="0" applyFont="1" applyFill="1" applyBorder="1" applyAlignment="1">
      <alignment horizontal="left" vertical="center" wrapText="1"/>
    </xf>
    <xf numFmtId="0" fontId="21" fillId="2" borderId="1" xfId="0" applyFont="1" applyFill="1" applyBorder="1" applyAlignment="1">
      <alignment horizontal="center" vertical="center"/>
    </xf>
    <xf numFmtId="0" fontId="47" fillId="35" borderId="0" xfId="0" applyFont="1" applyFill="1" applyAlignment="1">
      <alignment vertical="center"/>
    </xf>
    <xf numFmtId="0" fontId="9" fillId="12" borderId="1" xfId="0" applyFont="1" applyFill="1" applyBorder="1" applyAlignment="1">
      <alignment horizontal="left" vertical="center"/>
    </xf>
    <xf numFmtId="0" fontId="9" fillId="5" borderId="1" xfId="0" applyFont="1" applyFill="1" applyBorder="1" applyAlignment="1">
      <alignment horizontal="left" vertical="center"/>
    </xf>
    <xf numFmtId="0" fontId="15" fillId="12" borderId="1" xfId="0" applyFont="1" applyFill="1" applyBorder="1" applyAlignment="1">
      <alignment horizontal="left" vertical="center"/>
    </xf>
    <xf numFmtId="0" fontId="48" fillId="36" borderId="3" xfId="0" applyFont="1" applyFill="1" applyBorder="1" applyAlignment="1">
      <alignment horizontal="center" vertical="top" wrapText="1"/>
    </xf>
    <xf numFmtId="0" fontId="48" fillId="37" borderId="3" xfId="0" applyFont="1" applyFill="1" applyBorder="1" applyAlignment="1">
      <alignment horizontal="center" vertical="top" wrapText="1"/>
    </xf>
    <xf numFmtId="0" fontId="48" fillId="38" borderId="0" xfId="0" applyFont="1" applyFill="1" applyAlignment="1">
      <alignment horizontal="center" vertical="top" wrapText="1"/>
    </xf>
    <xf numFmtId="0" fontId="49" fillId="11" borderId="1" xfId="0" applyFont="1" applyFill="1" applyBorder="1" applyAlignment="1">
      <alignment horizontal="center" vertical="center" wrapText="1"/>
    </xf>
    <xf numFmtId="0" fontId="23" fillId="39" borderId="1" xfId="0" applyFont="1" applyFill="1" applyBorder="1" applyAlignment="1">
      <alignment horizontal="center" vertical="center" wrapText="1"/>
    </xf>
    <xf numFmtId="0" fontId="1" fillId="11" borderId="1" xfId="2" applyFill="1" applyBorder="1" applyAlignment="1">
      <alignment horizontal="center" vertical="center" wrapText="1"/>
    </xf>
    <xf numFmtId="0" fontId="25" fillId="39" borderId="7" xfId="0" applyFont="1" applyFill="1" applyBorder="1" applyAlignment="1">
      <alignment horizontal="center" vertical="center" wrapText="1"/>
    </xf>
    <xf numFmtId="0" fontId="24" fillId="39" borderId="1" xfId="0" applyFont="1" applyFill="1" applyBorder="1" applyAlignment="1">
      <alignment horizontal="center" vertical="center" wrapText="1"/>
    </xf>
    <xf numFmtId="0" fontId="9" fillId="39" borderId="1" xfId="0" applyFont="1" applyFill="1" applyBorder="1" applyAlignment="1">
      <alignment horizontal="center" vertical="center" wrapText="1"/>
    </xf>
    <xf numFmtId="0" fontId="23" fillId="40" borderId="1" xfId="0" applyFont="1" applyFill="1" applyBorder="1" applyAlignment="1">
      <alignment horizontal="center" vertical="center" wrapText="1"/>
    </xf>
    <xf numFmtId="0" fontId="1" fillId="39" borderId="1" xfId="0" applyFont="1" applyFill="1" applyBorder="1" applyAlignment="1">
      <alignment horizontal="center" vertical="center" wrapText="1"/>
    </xf>
    <xf numFmtId="0" fontId="15" fillId="39" borderId="1" xfId="0" applyFont="1" applyFill="1" applyBorder="1" applyAlignment="1">
      <alignment horizontal="center" vertical="center" wrapText="1"/>
    </xf>
    <xf numFmtId="0" fontId="50" fillId="11" borderId="1" xfId="0" applyFont="1" applyFill="1" applyBorder="1" applyAlignment="1">
      <alignment horizontal="center" vertical="center" wrapText="1"/>
    </xf>
    <xf numFmtId="0" fontId="1" fillId="11" borderId="1" xfId="2" applyFill="1" applyBorder="1" applyAlignment="1">
      <alignment horizontal="center" vertical="center" wrapText="1"/>
    </xf>
    <xf numFmtId="0" fontId="51" fillId="11" borderId="1" xfId="0" applyFont="1" applyFill="1" applyBorder="1" applyAlignment="1">
      <alignment horizontal="center" vertical="center" wrapText="1"/>
    </xf>
    <xf numFmtId="0" fontId="52" fillId="11" borderId="1" xfId="0" applyFont="1" applyFill="1" applyBorder="1" applyAlignment="1">
      <alignment horizontal="center" vertical="center" wrapText="1"/>
    </xf>
    <xf numFmtId="0" fontId="23" fillId="41" borderId="1" xfId="0" applyFont="1" applyFill="1" applyBorder="1" applyAlignment="1">
      <alignment horizontal="center" vertical="center" wrapText="1"/>
    </xf>
    <xf numFmtId="0" fontId="8" fillId="41" borderId="1" xfId="0" applyFont="1" applyFill="1" applyBorder="1" applyAlignment="1">
      <alignment horizontal="center" vertical="center" wrapText="1"/>
    </xf>
    <xf numFmtId="0" fontId="23" fillId="42" borderId="1" xfId="0" applyFont="1" applyFill="1" applyBorder="1" applyAlignment="1">
      <alignment horizontal="center" vertical="center" wrapText="1"/>
    </xf>
    <xf numFmtId="0" fontId="1" fillId="11" borderId="4" xfId="2" applyFill="1" applyBorder="1" applyAlignment="1">
      <alignment horizontal="center" vertical="center" wrapText="1"/>
    </xf>
    <xf numFmtId="0" fontId="8" fillId="43" borderId="7" xfId="0" applyFont="1" applyFill="1" applyBorder="1" applyAlignment="1">
      <alignment horizontal="center" vertical="center" wrapText="1"/>
    </xf>
    <xf numFmtId="0" fontId="1" fillId="11" borderId="7" xfId="2" applyFill="1" applyBorder="1" applyAlignment="1">
      <alignment horizontal="center" vertical="center" wrapText="1"/>
    </xf>
    <xf numFmtId="0" fontId="1" fillId="22" borderId="9" xfId="2" applyFill="1" applyBorder="1" applyAlignment="1">
      <alignment horizontal="center" vertical="center"/>
    </xf>
    <xf numFmtId="0" fontId="33" fillId="22" borderId="9" xfId="0" applyFont="1" applyFill="1" applyBorder="1" applyAlignment="1">
      <alignment horizontal="center" vertical="center" wrapText="1"/>
    </xf>
    <xf numFmtId="0" fontId="1" fillId="22" borderId="9" xfId="2" applyFill="1" applyBorder="1" applyAlignment="1">
      <alignment horizontal="center" vertical="center" wrapText="1"/>
    </xf>
    <xf numFmtId="0" fontId="23" fillId="43" borderId="1" xfId="0" applyFont="1" applyFill="1" applyBorder="1" applyAlignment="1">
      <alignment horizontal="center" vertical="center" wrapText="1"/>
    </xf>
    <xf numFmtId="0" fontId="23" fillId="44" borderId="1" xfId="0" applyFont="1" applyFill="1" applyBorder="1" applyAlignment="1">
      <alignment horizontal="center" vertical="center" wrapText="1"/>
    </xf>
    <xf numFmtId="0" fontId="23" fillId="45" borderId="1" xfId="0" applyFont="1" applyFill="1" applyBorder="1" applyAlignment="1">
      <alignment horizontal="center" vertical="center" wrapText="1"/>
    </xf>
    <xf numFmtId="0" fontId="9" fillId="45" borderId="1" xfId="0" applyFont="1" applyFill="1" applyBorder="1" applyAlignment="1">
      <alignment horizontal="center" vertical="center" wrapText="1"/>
    </xf>
    <xf numFmtId="0" fontId="9" fillId="45" borderId="7" xfId="0" applyFont="1" applyFill="1" applyBorder="1" applyAlignment="1">
      <alignment horizontal="center" vertical="center" wrapText="1"/>
    </xf>
    <xf numFmtId="0" fontId="15" fillId="45" borderId="1" xfId="0" applyFont="1" applyFill="1" applyBorder="1" applyAlignment="1">
      <alignment horizontal="center" vertical="center" wrapText="1"/>
    </xf>
    <xf numFmtId="0" fontId="53" fillId="39" borderId="0" xfId="0" applyFont="1" applyFill="1"/>
    <xf numFmtId="0" fontId="23" fillId="40" borderId="4" xfId="0" applyFont="1" applyFill="1" applyBorder="1" applyAlignment="1">
      <alignment horizontal="center" vertical="center" wrapText="1"/>
    </xf>
    <xf numFmtId="0" fontId="8" fillId="11" borderId="7" xfId="0" applyFont="1" applyFill="1" applyBorder="1" applyAlignment="1">
      <alignment horizontal="center" vertical="center" wrapText="1"/>
    </xf>
    <xf numFmtId="0" fontId="23" fillId="40" borderId="0" xfId="0" applyFont="1" applyFill="1" applyAlignment="1">
      <alignment horizontal="center" vertical="center" wrapText="1"/>
    </xf>
    <xf numFmtId="0" fontId="20" fillId="4" borderId="0" xfId="0" applyFont="1" applyFill="1" applyAlignment="1">
      <alignment horizontal="center" vertical="center" wrapText="1"/>
    </xf>
    <xf numFmtId="0" fontId="0" fillId="0" borderId="0" xfId="0" applyAlignment="1">
      <alignment horizontal="center" vertical="center"/>
    </xf>
    <xf numFmtId="0" fontId="19" fillId="4" borderId="0" xfId="0" applyFont="1" applyFill="1" applyAlignment="1">
      <alignment horizontal="center" vertical="center" wrapText="1"/>
    </xf>
    <xf numFmtId="0" fontId="8" fillId="11" borderId="1" xfId="0" applyFont="1" applyFill="1" applyBorder="1" applyAlignment="1">
      <alignment horizontal="center" vertical="center" wrapText="1"/>
    </xf>
    <xf numFmtId="0" fontId="9" fillId="11" borderId="1" xfId="0" applyFont="1" applyFill="1" applyBorder="1" applyAlignment="1">
      <alignment horizontal="center" vertical="center" wrapText="1"/>
    </xf>
    <xf numFmtId="0" fontId="0" fillId="0" borderId="0" xfId="0"/>
    <xf numFmtId="0" fontId="8" fillId="5" borderId="1" xfId="0" applyFont="1" applyFill="1" applyBorder="1" applyAlignment="1">
      <alignment horizontal="left" vertical="center"/>
    </xf>
    <xf numFmtId="0" fontId="7" fillId="4" borderId="0" xfId="0" applyFont="1" applyFill="1" applyAlignment="1">
      <alignment horizontal="left" vertical="center"/>
    </xf>
    <xf numFmtId="0" fontId="14" fillId="0" borderId="0" xfId="0" applyFont="1"/>
    <xf numFmtId="9" fontId="42" fillId="0" borderId="0" xfId="0" applyNumberFormat="1" applyFont="1" applyAlignment="1">
      <alignment horizontal="center"/>
    </xf>
    <xf numFmtId="0" fontId="19" fillId="34" borderId="0" xfId="0" applyFont="1" applyFill="1" applyAlignment="1">
      <alignment horizontal="center"/>
    </xf>
    <xf numFmtId="0" fontId="28" fillId="14" borderId="0" xfId="0" applyFont="1" applyFill="1" applyAlignment="1">
      <alignment horizontal="center" vertical="center" wrapText="1"/>
    </xf>
    <xf numFmtId="0" fontId="0" fillId="0" borderId="0" xfId="0"/>
    <xf numFmtId="0" fontId="3" fillId="0" borderId="0" xfId="0" applyFont="1" applyAlignment="1">
      <alignment horizontal="center" vertical="center"/>
    </xf>
    <xf numFmtId="0" fontId="4" fillId="0" borderId="0" xfId="0" applyFont="1" applyAlignment="1">
      <alignment horizontal="center" vertical="center" wrapText="1"/>
    </xf>
    <xf numFmtId="0" fontId="5" fillId="2" borderId="0" xfId="0" applyFont="1" applyFill="1" applyAlignment="1">
      <alignment horizontal="center" vertical="center"/>
    </xf>
    <xf numFmtId="0" fontId="8" fillId="5" borderId="1" xfId="0" applyFont="1" applyFill="1" applyBorder="1" applyAlignment="1">
      <alignment horizontal="left" vertical="center"/>
    </xf>
    <xf numFmtId="0" fontId="0" fillId="0" borderId="4" xfId="0" applyBorder="1"/>
    <xf numFmtId="0" fontId="6" fillId="3" borderId="0" xfId="0" applyFont="1" applyFill="1" applyAlignment="1">
      <alignment horizontal="center" vertical="center"/>
    </xf>
    <xf numFmtId="0" fontId="7" fillId="4" borderId="0" xfId="0" applyFont="1" applyFill="1" applyAlignment="1">
      <alignment horizontal="left" vertical="center"/>
    </xf>
    <xf numFmtId="0" fontId="14" fillId="0" borderId="0" xfId="0" applyFont="1"/>
    <xf numFmtId="0" fontId="20" fillId="4" borderId="0" xfId="0" applyFont="1" applyFill="1" applyAlignment="1">
      <alignment horizontal="center" vertical="center" wrapText="1"/>
    </xf>
    <xf numFmtId="0" fontId="0" fillId="0" borderId="0" xfId="0" applyAlignment="1">
      <alignment horizontal="center" vertical="center"/>
    </xf>
    <xf numFmtId="0" fontId="19" fillId="4" borderId="0" xfId="0" applyFont="1" applyFill="1" applyAlignment="1">
      <alignment horizontal="center" vertical="center" wrapText="1"/>
    </xf>
    <xf numFmtId="0" fontId="8" fillId="11" borderId="1" xfId="0" applyFont="1" applyFill="1" applyBorder="1" applyAlignment="1">
      <alignment horizontal="center" vertical="center" wrapText="1"/>
    </xf>
    <xf numFmtId="0" fontId="0" fillId="0" borderId="2" xfId="0" applyBorder="1"/>
    <xf numFmtId="0" fontId="0" fillId="0" borderId="6" xfId="0" applyBorder="1"/>
    <xf numFmtId="0" fontId="9" fillId="11" borderId="1" xfId="0" applyFont="1" applyFill="1" applyBorder="1" applyAlignment="1">
      <alignment horizontal="center" vertical="center" wrapText="1"/>
    </xf>
    <xf numFmtId="0" fontId="13" fillId="10" borderId="12" xfId="0" applyFont="1" applyFill="1" applyBorder="1" applyAlignment="1">
      <alignment horizontal="center" vertical="center" wrapText="1"/>
    </xf>
    <xf numFmtId="0" fontId="0" fillId="0" borderId="13" xfId="0" applyBorder="1"/>
    <xf numFmtId="0" fontId="39" fillId="5" borderId="12" xfId="0" applyFont="1" applyFill="1" applyBorder="1" applyAlignment="1">
      <alignment horizontal="center" vertical="center" wrapText="1"/>
    </xf>
    <xf numFmtId="0" fontId="21" fillId="4" borderId="12" xfId="0" applyFont="1" applyFill="1" applyBorder="1" applyAlignment="1">
      <alignment horizontal="center" vertical="center"/>
    </xf>
    <xf numFmtId="0" fontId="9" fillId="12" borderId="12" xfId="0" applyFont="1" applyFill="1" applyBorder="1" applyAlignment="1">
      <alignment horizontal="left" vertical="center" wrapText="1"/>
    </xf>
    <xf numFmtId="0" fontId="35" fillId="4" borderId="0" xfId="0" applyFont="1" applyFill="1" applyAlignment="1">
      <alignment horizontal="center" vertical="center"/>
    </xf>
    <xf numFmtId="0" fontId="9" fillId="5" borderId="12" xfId="0" applyFont="1" applyFill="1" applyBorder="1" applyAlignment="1">
      <alignment horizontal="center" vertical="center" wrapText="1"/>
    </xf>
    <xf numFmtId="0" fontId="11" fillId="8" borderId="12" xfId="0" applyFont="1" applyFill="1" applyBorder="1" applyAlignment="1">
      <alignment horizontal="center" vertical="center" wrapText="1"/>
    </xf>
    <xf numFmtId="0" fontId="38" fillId="5" borderId="12" xfId="0" applyFont="1" applyFill="1" applyBorder="1" applyAlignment="1">
      <alignment horizontal="center" vertical="center"/>
    </xf>
    <xf numFmtId="0" fontId="12" fillId="9" borderId="12" xfId="0" applyFont="1" applyFill="1" applyBorder="1" applyAlignment="1">
      <alignment horizontal="center" vertical="center" wrapText="1"/>
    </xf>
    <xf numFmtId="0" fontId="37" fillId="2" borderId="0" xfId="0" applyFont="1" applyFill="1" applyAlignment="1">
      <alignment horizontal="center" vertical="center"/>
    </xf>
    <xf numFmtId="0" fontId="10" fillId="7" borderId="12" xfId="0" applyFont="1" applyFill="1" applyBorder="1" applyAlignment="1">
      <alignment horizontal="center" vertical="center" wrapText="1"/>
    </xf>
    <xf numFmtId="0" fontId="19" fillId="27" borderId="12" xfId="0" applyFont="1" applyFill="1" applyBorder="1" applyAlignment="1">
      <alignment horizontal="center" vertical="center" wrapText="1"/>
    </xf>
    <xf numFmtId="165" fontId="41" fillId="8" borderId="12" xfId="0" applyNumberFormat="1" applyFont="1" applyFill="1" applyBorder="1" applyAlignment="1">
      <alignment horizontal="center" vertical="center"/>
    </xf>
    <xf numFmtId="1" fontId="41" fillId="30" borderId="12" xfId="0" applyNumberFormat="1" applyFont="1" applyFill="1" applyBorder="1" applyAlignment="1">
      <alignment horizontal="center" vertical="center"/>
    </xf>
    <xf numFmtId="0" fontId="19" fillId="29" borderId="12" xfId="0" applyFont="1" applyFill="1" applyBorder="1" applyAlignment="1">
      <alignment horizontal="center" vertical="center" wrapText="1"/>
    </xf>
    <xf numFmtId="1" fontId="41" fillId="6" borderId="12" xfId="0" applyNumberFormat="1" applyFont="1" applyFill="1" applyBorder="1" applyAlignment="1">
      <alignment horizontal="center" vertical="center"/>
    </xf>
    <xf numFmtId="0" fontId="19" fillId="25" borderId="12" xfId="0" applyFont="1" applyFill="1" applyBorder="1" applyAlignment="1">
      <alignment horizontal="center" vertical="center" wrapText="1"/>
    </xf>
    <xf numFmtId="0" fontId="19" fillId="28" borderId="12" xfId="0" applyFont="1" applyFill="1" applyBorder="1" applyAlignment="1">
      <alignment horizontal="center" vertical="center" wrapText="1"/>
    </xf>
    <xf numFmtId="1" fontId="41" fillId="7" borderId="12" xfId="0" applyNumberFormat="1" applyFont="1" applyFill="1" applyBorder="1" applyAlignment="1">
      <alignment horizontal="center" vertical="center"/>
    </xf>
    <xf numFmtId="1" fontId="41" fillId="20" borderId="12" xfId="0" applyNumberFormat="1" applyFont="1" applyFill="1" applyBorder="1" applyAlignment="1">
      <alignment horizontal="center" vertical="center"/>
    </xf>
    <xf numFmtId="0" fontId="19" fillId="26" borderId="12" xfId="0" applyFont="1" applyFill="1" applyBorder="1" applyAlignment="1">
      <alignment horizontal="center" vertical="center" wrapText="1"/>
    </xf>
    <xf numFmtId="9" fontId="42" fillId="0" borderId="0" xfId="0" applyNumberFormat="1" applyFont="1" applyAlignment="1">
      <alignment horizontal="center"/>
    </xf>
    <xf numFmtId="1" fontId="41" fillId="19" borderId="12" xfId="0" applyNumberFormat="1" applyFont="1" applyFill="1" applyBorder="1" applyAlignment="1">
      <alignment horizontal="center" vertical="center"/>
    </xf>
    <xf numFmtId="0" fontId="19" fillId="34" borderId="0" xfId="0" applyFont="1" applyFill="1" applyAlignment="1">
      <alignment horizontal="center"/>
    </xf>
    <xf numFmtId="0" fontId="38" fillId="5" borderId="0" xfId="0" applyFont="1" applyFill="1" applyAlignment="1">
      <alignment horizontal="center" vertical="center"/>
    </xf>
    <xf numFmtId="165" fontId="41" fillId="9" borderId="12" xfId="0" applyNumberFormat="1" applyFont="1" applyFill="1" applyBorder="1" applyAlignment="1">
      <alignment horizontal="center" vertical="center"/>
    </xf>
    <xf numFmtId="1" fontId="41" fillId="9" borderId="12" xfId="0" applyNumberFormat="1" applyFont="1" applyFill="1" applyBorder="1" applyAlignment="1">
      <alignment horizontal="center" vertical="center"/>
    </xf>
    <xf numFmtId="0" fontId="19" fillId="4" borderId="12" xfId="0" applyFont="1" applyFill="1" applyBorder="1" applyAlignment="1">
      <alignment horizontal="center" vertical="center" wrapText="1"/>
    </xf>
    <xf numFmtId="1" fontId="41" fillId="8" borderId="12" xfId="0" applyNumberFormat="1" applyFont="1" applyFill="1" applyBorder="1" applyAlignment="1">
      <alignment horizontal="center" vertical="center"/>
    </xf>
    <xf numFmtId="0" fontId="40" fillId="2" borderId="0" xfId="0" applyFont="1" applyFill="1" applyAlignment="1">
      <alignment horizontal="center" vertical="center"/>
    </xf>
    <xf numFmtId="165" fontId="41" fillId="7" borderId="12" xfId="0" applyNumberFormat="1" applyFont="1" applyFill="1" applyBorder="1" applyAlignment="1">
      <alignment horizontal="center" vertical="center"/>
    </xf>
    <xf numFmtId="0" fontId="7" fillId="4" borderId="0" xfId="0" applyFont="1" applyFill="1"/>
    <xf numFmtId="0" fontId="9" fillId="5" borderId="12" xfId="0" applyFont="1" applyFill="1" applyBorder="1" applyAlignment="1">
      <alignment horizontal="left" vertical="center"/>
    </xf>
    <xf numFmtId="0" fontId="9" fillId="12" borderId="12" xfId="0" applyFont="1" applyFill="1" applyBorder="1" applyAlignment="1">
      <alignment horizontal="left" vertical="center"/>
    </xf>
  </cellXfs>
  <cellStyles count="3">
    <cellStyle name="Hyperlink" xfId="2" builtinId="8"/>
    <cellStyle name="Hyperlink 1" xfId="1" xr:uid="{00000000-0005-0000-0000-000001000000}"/>
    <cellStyle name="Normal" xfId="0" builtinId="0"/>
  </cellStyles>
  <dxfs count="12">
    <dxf>
      <font>
        <b/>
        <color rgb="FFB71C1C"/>
        <name val="Arial"/>
        <charset val="1"/>
      </font>
      <fill>
        <patternFill>
          <bgColor rgb="FFFFEBEE"/>
        </patternFill>
      </fill>
    </dxf>
    <dxf>
      <font>
        <b/>
        <color rgb="FF0D47A1"/>
        <name val="Arial"/>
        <charset val="1"/>
      </font>
      <fill>
        <patternFill>
          <bgColor rgb="FFE3F2FD"/>
        </patternFill>
      </fill>
    </dxf>
    <dxf>
      <font>
        <b/>
        <color rgb="FFE65100"/>
        <name val="Arial"/>
        <charset val="1"/>
      </font>
      <fill>
        <patternFill>
          <bgColor rgb="FFFFF3E0"/>
        </patternFill>
      </fill>
    </dxf>
    <dxf>
      <font>
        <b/>
        <color rgb="FF1B5E20"/>
        <name val="Arial"/>
        <charset val="1"/>
      </font>
      <fill>
        <patternFill>
          <bgColor rgb="FFE8F5E9"/>
        </patternFill>
      </fill>
    </dxf>
    <dxf>
      <font>
        <b/>
        <color rgb="FFB71C1C"/>
        <name val="Arial"/>
        <charset val="1"/>
      </font>
      <fill>
        <patternFill>
          <bgColor rgb="FFFFEBEE"/>
        </patternFill>
      </fill>
    </dxf>
    <dxf>
      <font>
        <b/>
        <color rgb="FF0D47A1"/>
        <name val="Arial"/>
        <charset val="1"/>
      </font>
      <fill>
        <patternFill>
          <bgColor rgb="FFE3F2FD"/>
        </patternFill>
      </fill>
    </dxf>
    <dxf>
      <font>
        <b/>
        <color rgb="FFE65100"/>
        <name val="Arial"/>
        <charset val="1"/>
      </font>
      <fill>
        <patternFill>
          <bgColor rgb="FFFFF3E0"/>
        </patternFill>
      </fill>
    </dxf>
    <dxf>
      <font>
        <b/>
        <color rgb="FF1B5E20"/>
        <name val="Arial"/>
        <charset val="1"/>
      </font>
      <fill>
        <patternFill>
          <bgColor rgb="FFE8F5E9"/>
        </patternFill>
      </fill>
    </dxf>
    <dxf>
      <font>
        <b/>
        <color rgb="FF1B5E20"/>
        <name val="Arial"/>
        <charset val="1"/>
      </font>
      <fill>
        <patternFill>
          <bgColor rgb="FFF1F8E9"/>
        </patternFill>
      </fill>
    </dxf>
    <dxf>
      <font>
        <b/>
        <color rgb="FF0D47A1"/>
        <name val="Arial"/>
        <charset val="1"/>
      </font>
      <fill>
        <patternFill>
          <bgColor rgb="FFF3F8FE"/>
        </patternFill>
      </fill>
    </dxf>
    <dxf>
      <font>
        <b/>
        <color rgb="FFE65100"/>
        <name val="Arial"/>
        <charset val="1"/>
      </font>
      <fill>
        <patternFill>
          <bgColor rgb="FFFFF8E1"/>
        </patternFill>
      </fill>
    </dxf>
    <dxf>
      <font>
        <b/>
        <color rgb="FF880E4F"/>
        <name val="Arial"/>
        <charset val="1"/>
      </font>
      <fill>
        <patternFill>
          <bgColor rgb="FFFCE4EC"/>
        </patternFill>
      </fill>
    </dxf>
  </dxfs>
  <tableStyles count="0" defaultTableStyle="TableStyleMedium2" defaultPivotStyle="PivotStyleLight16"/>
  <colors>
    <indexedColors>
      <rgbColor rgb="FF000000"/>
      <rgbColor rgb="FFFFFFFF"/>
      <rgbColor rgb="FFE31920"/>
      <rgbColor rgb="FFF1F8E9"/>
      <rgbColor rgb="FF0000FF"/>
      <rgbColor rgb="FFFFFF00"/>
      <rgbColor rgb="FFFFEBEE"/>
      <rgbColor rgb="FFDCE6F1"/>
      <rgbColor rgb="FFC00000"/>
      <rgbColor rgb="FF1B5E20"/>
      <rgbColor rgb="FF0D1D47"/>
      <rgbColor rgb="FFB8860B"/>
      <rgbColor rgb="FF880E4F"/>
      <rgbColor rgb="FF4F81BD"/>
      <rgbColor rgb="FFBFBFBF"/>
      <rgbColor rgb="FF808080"/>
      <rgbColor rgb="FF78909C"/>
      <rgbColor rgb="FFC0504D"/>
      <rgbColor rgb="FFFFF8E1"/>
      <rgbColor rgb="FFE3F2FD"/>
      <rgbColor rgb="FFFFFDE7"/>
      <rgbColor rgb="FFED7D31"/>
      <rgbColor rgb="FF0563C1"/>
      <rgbColor rgb="FFD9D9D9"/>
      <rgbColor rgb="FF000080"/>
      <rgbColor rgb="FFF4F6F8"/>
      <rgbColor rgb="FFFFF3E0"/>
      <rgbColor rgb="FFEDEDED"/>
      <rgbColor rgb="FFF3F8FE"/>
      <rgbColor rgb="FF800000"/>
      <rgbColor rgb="FFEEF3FB"/>
      <rgbColor rgb="FF0000FF"/>
      <rgbColor rgb="FFDDE3E7"/>
      <rgbColor rgb="FFE8F5E9"/>
      <rgbColor rgb="FFE2EFDA"/>
      <rgbColor rgb="FFFFF2CC"/>
      <rgbColor rgb="FF95B3D7"/>
      <rgbColor rgb="FFFDE0E1"/>
      <rgbColor rgb="FFB3B3B3"/>
      <rgbColor rgb="FFFCE4D6"/>
      <rgbColor rgb="FF4A6FC2"/>
      <rgbColor rgb="FF70AD47"/>
      <rgbColor rgb="FF9BBB59"/>
      <rgbColor rgb="FFFFC000"/>
      <rgbColor rgb="FFFCE4EC"/>
      <rgbColor rgb="FFE65100"/>
      <rgbColor rgb="FF8064A2"/>
      <rgbColor rgb="FF999999"/>
      <rgbColor rgb="FF1B3068"/>
      <rgbColor rgb="FF2E7D32"/>
      <rgbColor rgb="FF10243E"/>
      <rgbColor rgb="FF33691E"/>
      <rgbColor rgb="FFB71C1C"/>
      <rgbColor rgb="FFB45F06"/>
      <rgbColor rgb="FF0D47A1"/>
      <rgbColor rgb="FF2A3850"/>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rot="0"/>
          <a:lstStyle/>
          <a:p>
            <a:pPr>
              <a:defRPr lang="es-MX" sz="1800" b="1" strike="noStrike" spc="-1">
                <a:solidFill>
                  <a:srgbClr val="000000"/>
                </a:solidFill>
                <a:latin typeface="Calibri"/>
              </a:defRPr>
            </a:pPr>
            <a:r>
              <a:rPr lang="es-MX" sz="1800" b="1" strike="noStrike" spc="-1">
                <a:solidFill>
                  <a:srgbClr val="000000"/>
                </a:solidFill>
                <a:latin typeface="Calibri"/>
              </a:rPr>
              <a:t>Portafolio por Disposición TIME</a:t>
            </a:r>
          </a:p>
        </c:rich>
      </c:tx>
      <c:layout>
        <c:manualLayout>
          <c:xMode val="edge"/>
          <c:yMode val="edge"/>
          <c:x val="0.62617325742421903"/>
          <c:y val="2.6203139187962101E-2"/>
        </c:manualLayout>
      </c:layout>
      <c:overlay val="0"/>
      <c:spPr>
        <a:noFill/>
        <a:ln w="0">
          <a:noFill/>
          <a:prstDash val="solid"/>
        </a:ln>
      </c:spPr>
    </c:title>
    <c:autoTitleDeleted val="0"/>
    <c:plotArea>
      <c:layout/>
      <c:barChart>
        <c:barDir val="col"/>
        <c:grouping val="clustered"/>
        <c:varyColors val="1"/>
        <c:ser>
          <c:idx val="0"/>
          <c:order val="0"/>
          <c:tx>
            <c:strRef>
              <c:f>Dashboard!$C$35</c:f>
              <c:strCache>
                <c:ptCount val="1"/>
                <c:pt idx="0">
                  <c:v>Aplicaciones</c:v>
                </c:pt>
              </c:strCache>
            </c:strRef>
          </c:tx>
          <c:spPr>
            <a:solidFill>
              <a:srgbClr val="4F81BD"/>
            </a:solidFill>
            <a:ln w="0">
              <a:noFill/>
              <a:prstDash val="solid"/>
            </a:ln>
          </c:spPr>
          <c:invertIfNegative val="0"/>
          <c:dPt>
            <c:idx val="0"/>
            <c:invertIfNegative val="1"/>
            <c:bubble3D val="0"/>
            <c:spPr>
              <a:ln>
                <a:prstDash val="solid"/>
              </a:ln>
            </c:spPr>
            <c:extLst>
              <c:ext xmlns:c16="http://schemas.microsoft.com/office/drawing/2014/chart" uri="{C3380CC4-5D6E-409C-BE32-E72D297353CC}">
                <c16:uniqueId val="{00000001-F9D2-43EF-AD8C-1E8A93B41856}"/>
              </c:ext>
            </c:extLst>
          </c:dPt>
          <c:dPt>
            <c:idx val="1"/>
            <c:invertIfNegative val="1"/>
            <c:bubble3D val="0"/>
            <c:spPr>
              <a:solidFill>
                <a:srgbClr val="C0504D"/>
              </a:solidFill>
              <a:ln w="0">
                <a:noFill/>
                <a:prstDash val="solid"/>
              </a:ln>
            </c:spPr>
            <c:extLst>
              <c:ext xmlns:c16="http://schemas.microsoft.com/office/drawing/2014/chart" uri="{C3380CC4-5D6E-409C-BE32-E72D297353CC}">
                <c16:uniqueId val="{00000003-F9D2-43EF-AD8C-1E8A93B41856}"/>
              </c:ext>
            </c:extLst>
          </c:dPt>
          <c:dPt>
            <c:idx val="2"/>
            <c:invertIfNegative val="1"/>
            <c:bubble3D val="0"/>
            <c:spPr>
              <a:solidFill>
                <a:srgbClr val="9BBB59"/>
              </a:solidFill>
              <a:ln w="0">
                <a:noFill/>
                <a:prstDash val="solid"/>
              </a:ln>
            </c:spPr>
            <c:extLst>
              <c:ext xmlns:c16="http://schemas.microsoft.com/office/drawing/2014/chart" uri="{C3380CC4-5D6E-409C-BE32-E72D297353CC}">
                <c16:uniqueId val="{00000005-F9D2-43EF-AD8C-1E8A93B41856}"/>
              </c:ext>
            </c:extLst>
          </c:dPt>
          <c:dPt>
            <c:idx val="3"/>
            <c:invertIfNegative val="1"/>
            <c:bubble3D val="0"/>
            <c:spPr>
              <a:solidFill>
                <a:srgbClr val="8064A2"/>
              </a:solidFill>
              <a:ln w="0">
                <a:noFill/>
                <a:prstDash val="solid"/>
              </a:ln>
            </c:spPr>
            <c:extLst>
              <c:ext xmlns:c16="http://schemas.microsoft.com/office/drawing/2014/chart" uri="{C3380CC4-5D6E-409C-BE32-E72D297353CC}">
                <c16:uniqueId val="{00000007-F9D2-43EF-AD8C-1E8A93B41856}"/>
              </c:ext>
            </c:extLst>
          </c:dPt>
          <c:dLbls>
            <c:dLbl>
              <c:idx val="0"/>
              <c:spPr>
                <a:ln>
                  <a:prstDash val="solid"/>
                </a:ln>
              </c:spPr>
              <c:txPr>
                <a:bodyPr wrap="square"/>
                <a:lstStyle/>
                <a:p>
                  <a:pPr>
                    <a:defRPr sz="1000" b="0" strike="noStrike" spc="-1">
                      <a:solidFill>
                        <a:srgbClr val="000000"/>
                      </a:solidFill>
                      <a:latin typeface="Calibri"/>
                    </a:defRPr>
                  </a:pPr>
                  <a:endParaRPr lang="es-MX"/>
                </a:p>
              </c:txPr>
              <c:dLblPos val="outEnd"/>
              <c:showLegendKey val="1"/>
              <c:showVal val="1"/>
              <c:showCatName val="1"/>
              <c:showSerName val="1"/>
              <c:showPercent val="0"/>
              <c:showBubbleSize val="1"/>
              <c:extLst>
                <c:ext xmlns:c16="http://schemas.microsoft.com/office/drawing/2014/chart" uri="{C3380CC4-5D6E-409C-BE32-E72D297353CC}">
                  <c16:uniqueId val="{00000001-F9D2-43EF-AD8C-1E8A93B41856}"/>
                </c:ext>
              </c:extLst>
            </c:dLbl>
            <c:dLbl>
              <c:idx val="1"/>
              <c:spPr>
                <a:ln>
                  <a:prstDash val="solid"/>
                </a:ln>
              </c:spPr>
              <c:txPr>
                <a:bodyPr wrap="square"/>
                <a:lstStyle/>
                <a:p>
                  <a:pPr>
                    <a:defRPr sz="1000" b="0" strike="noStrike" spc="-1">
                      <a:solidFill>
                        <a:srgbClr val="000000"/>
                      </a:solidFill>
                      <a:latin typeface="Calibri"/>
                    </a:defRPr>
                  </a:pPr>
                  <a:endParaRPr lang="es-MX"/>
                </a:p>
              </c:txPr>
              <c:dLblPos val="outEnd"/>
              <c:showLegendKey val="1"/>
              <c:showVal val="1"/>
              <c:showCatName val="1"/>
              <c:showSerName val="1"/>
              <c:showPercent val="0"/>
              <c:showBubbleSize val="1"/>
              <c:extLst>
                <c:ext xmlns:c16="http://schemas.microsoft.com/office/drawing/2014/chart" uri="{C3380CC4-5D6E-409C-BE32-E72D297353CC}">
                  <c16:uniqueId val="{00000003-F9D2-43EF-AD8C-1E8A93B41856}"/>
                </c:ext>
              </c:extLst>
            </c:dLbl>
            <c:dLbl>
              <c:idx val="2"/>
              <c:spPr>
                <a:ln>
                  <a:prstDash val="solid"/>
                </a:ln>
              </c:spPr>
              <c:txPr>
                <a:bodyPr wrap="square"/>
                <a:lstStyle/>
                <a:p>
                  <a:pPr>
                    <a:defRPr sz="1000" b="0" strike="noStrike" spc="-1">
                      <a:solidFill>
                        <a:srgbClr val="000000"/>
                      </a:solidFill>
                      <a:latin typeface="Calibri"/>
                    </a:defRPr>
                  </a:pPr>
                  <a:endParaRPr lang="es-MX"/>
                </a:p>
              </c:txPr>
              <c:dLblPos val="outEnd"/>
              <c:showLegendKey val="1"/>
              <c:showVal val="1"/>
              <c:showCatName val="1"/>
              <c:showSerName val="1"/>
              <c:showPercent val="0"/>
              <c:showBubbleSize val="1"/>
              <c:extLst>
                <c:ext xmlns:c16="http://schemas.microsoft.com/office/drawing/2014/chart" uri="{C3380CC4-5D6E-409C-BE32-E72D297353CC}">
                  <c16:uniqueId val="{00000005-F9D2-43EF-AD8C-1E8A93B41856}"/>
                </c:ext>
              </c:extLst>
            </c:dLbl>
            <c:dLbl>
              <c:idx val="3"/>
              <c:spPr>
                <a:ln>
                  <a:prstDash val="solid"/>
                </a:ln>
              </c:spPr>
              <c:txPr>
                <a:bodyPr wrap="square"/>
                <a:lstStyle/>
                <a:p>
                  <a:pPr>
                    <a:defRPr sz="1000" b="0" strike="noStrike" spc="-1">
                      <a:solidFill>
                        <a:srgbClr val="000000"/>
                      </a:solidFill>
                      <a:latin typeface="Calibri"/>
                    </a:defRPr>
                  </a:pPr>
                  <a:endParaRPr lang="es-MX"/>
                </a:p>
              </c:txPr>
              <c:dLblPos val="outEnd"/>
              <c:showLegendKey val="1"/>
              <c:showVal val="1"/>
              <c:showCatName val="1"/>
              <c:showSerName val="1"/>
              <c:showPercent val="0"/>
              <c:showBubbleSize val="1"/>
              <c:extLst>
                <c:ext xmlns:c16="http://schemas.microsoft.com/office/drawing/2014/chart" uri="{C3380CC4-5D6E-409C-BE32-E72D297353CC}">
                  <c16:uniqueId val="{00000007-F9D2-43EF-AD8C-1E8A93B41856}"/>
                </c:ext>
              </c:extLst>
            </c:dLbl>
            <c:spPr>
              <a:noFill/>
              <a:ln>
                <a:noFill/>
                <a:prstDash val="solid"/>
              </a:ln>
            </c:spPr>
            <c:txPr>
              <a:bodyPr wrap="square"/>
              <a:lstStyle/>
              <a:p>
                <a:pPr>
                  <a:defRPr sz="1000" b="0" strike="noStrike" spc="-1">
                    <a:solidFill>
                      <a:srgbClr val="000000"/>
                    </a:solidFill>
                    <a:latin typeface="Calibri"/>
                  </a:defRPr>
                </a:pPr>
                <a:endParaRPr lang="es-MX"/>
              </a:p>
            </c:txPr>
            <c:dLblPos val="outEnd"/>
            <c:showLegendKey val="1"/>
            <c:showVal val="1"/>
            <c:showCatName val="1"/>
            <c:showSerName val="1"/>
            <c:showPercent val="0"/>
            <c:showBubbleSize val="1"/>
            <c:showLeaderLines val="0"/>
            <c:extLst>
              <c:ext xmlns:c15="http://schemas.microsoft.com/office/drawing/2012/chart" uri="{CE6537A1-D6FC-4f65-9D91-7224C49458BB}">
                <c15:showLeaderLines val="0"/>
              </c:ext>
            </c:extLst>
          </c:dLbls>
          <c:cat>
            <c:strRef>
              <c:f>Dashboard!$B$36:$B$39</c:f>
              <c:strCache>
                <c:ptCount val="4"/>
                <c:pt idx="0">
                  <c:v>Invest</c:v>
                </c:pt>
                <c:pt idx="1">
                  <c:v>Migrate</c:v>
                </c:pt>
                <c:pt idx="2">
                  <c:v>Tolerate</c:v>
                </c:pt>
                <c:pt idx="3">
                  <c:v>Eliminate</c:v>
                </c:pt>
              </c:strCache>
            </c:strRef>
          </c:cat>
          <c:val>
            <c:numRef>
              <c:f>Dashboard!$C$36:$C$39</c:f>
              <c:numCache>
                <c:formatCode>0</c:formatCode>
                <c:ptCount val="4"/>
                <c:pt idx="0">
                  <c:v>13</c:v>
                </c:pt>
                <c:pt idx="1">
                  <c:v>32</c:v>
                </c:pt>
                <c:pt idx="2">
                  <c:v>2</c:v>
                </c:pt>
                <c:pt idx="3">
                  <c:v>22</c:v>
                </c:pt>
              </c:numCache>
            </c:numRef>
          </c:val>
          <c:extLst>
            <c:ext xmlns:c16="http://schemas.microsoft.com/office/drawing/2014/chart" uri="{C3380CC4-5D6E-409C-BE32-E72D297353CC}">
              <c16:uniqueId val="{00000008-F9D2-43EF-AD8C-1E8A93B41856}"/>
            </c:ext>
          </c:extLst>
        </c:ser>
        <c:dLbls>
          <c:showLegendKey val="0"/>
          <c:showVal val="0"/>
          <c:showCatName val="0"/>
          <c:showSerName val="0"/>
          <c:showPercent val="0"/>
          <c:showBubbleSize val="0"/>
        </c:dLbls>
        <c:gapWidth val="150"/>
        <c:axId val="16017465"/>
        <c:axId val="73646530"/>
      </c:barChart>
      <c:catAx>
        <c:axId val="16017465"/>
        <c:scaling>
          <c:orientation val="minMax"/>
        </c:scaling>
        <c:delete val="1"/>
        <c:axPos val="b"/>
        <c:numFmt formatCode="General" sourceLinked="1"/>
        <c:majorTickMark val="none"/>
        <c:minorTickMark val="none"/>
        <c:tickLblPos val="nextTo"/>
        <c:crossAx val="73646530"/>
        <c:crosses val="autoZero"/>
        <c:auto val="1"/>
        <c:lblAlgn val="ctr"/>
        <c:lblOffset val="100"/>
        <c:noMultiLvlLbl val="0"/>
      </c:catAx>
      <c:valAx>
        <c:axId val="73646530"/>
        <c:scaling>
          <c:orientation val="minMax"/>
        </c:scaling>
        <c:delete val="1"/>
        <c:axPos val="l"/>
        <c:majorGridlines>
          <c:spPr>
            <a:ln w="0">
              <a:solidFill>
                <a:srgbClr val="B3B3B3"/>
              </a:solidFill>
              <a:prstDash val="solid"/>
            </a:ln>
          </c:spPr>
        </c:majorGridlines>
        <c:title>
          <c:tx>
            <c:rich>
              <a:bodyPr rot="-5400000"/>
              <a:lstStyle/>
              <a:p>
                <a:pPr>
                  <a:defRPr lang="es-MX" sz="1000" b="1" strike="noStrike" spc="-1">
                    <a:solidFill>
                      <a:srgbClr val="000000"/>
                    </a:solidFill>
                    <a:latin typeface="Calibri"/>
                  </a:defRPr>
                </a:pPr>
                <a:r>
                  <a:rPr lang="es-MX" sz="1000" b="1" strike="noStrike" spc="-1">
                    <a:solidFill>
                      <a:srgbClr val="000000"/>
                    </a:solidFill>
                    <a:latin typeface="Calibri"/>
                  </a:rPr>
                  <a:t>Aplicaciones</a:t>
                </a:r>
              </a:p>
            </c:rich>
          </c:tx>
          <c:overlay val="0"/>
          <c:spPr>
            <a:noFill/>
            <a:ln w="0">
              <a:noFill/>
              <a:prstDash val="solid"/>
            </a:ln>
          </c:spPr>
        </c:title>
        <c:numFmt formatCode="0" sourceLinked="1"/>
        <c:majorTickMark val="none"/>
        <c:minorTickMark val="none"/>
        <c:tickLblPos val="nextTo"/>
        <c:crossAx val="16017465"/>
        <c:crosses val="autoZero"/>
        <c:crossBetween val="between"/>
      </c:valAx>
    </c:plotArea>
    <c:plotVisOnly val="1"/>
    <c:dispBlanksAs val="gap"/>
    <c:showDLblsOverMax val="1"/>
  </c:chart>
  <c:spPr>
    <a:solidFill>
      <a:srgbClr val="FFFFFF"/>
    </a:solidFill>
    <a:ln w="9360">
      <a:solidFill>
        <a:srgbClr val="D9D9D9"/>
      </a:solidFill>
      <a:prstDash val="solid"/>
      <a:roun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rot="0"/>
          <a:lstStyle/>
          <a:p>
            <a:pPr>
              <a:defRPr lang="es-MX" sz="1800" b="1" strike="noStrike" spc="-1">
                <a:solidFill>
                  <a:srgbClr val="000000"/>
                </a:solidFill>
                <a:latin typeface="Calibri"/>
              </a:defRPr>
            </a:pPr>
            <a:r>
              <a:rPr lang="es-MX" sz="1800" b="1" strike="noStrike" spc="-1">
                <a:solidFill>
                  <a:srgbClr val="000000"/>
                </a:solidFill>
                <a:latin typeface="Calibri"/>
              </a:rPr>
              <a:t>Aplicaciones por Criticidad</a:t>
            </a:r>
          </a:p>
        </c:rich>
      </c:tx>
      <c:layout>
        <c:manualLayout>
          <c:xMode val="edge"/>
          <c:yMode val="edge"/>
          <c:x val="0.33135867056470197"/>
          <c:y val="0.912109895972259"/>
        </c:manualLayout>
      </c:layout>
      <c:overlay val="0"/>
      <c:spPr>
        <a:noFill/>
        <a:ln w="0">
          <a:noFill/>
          <a:prstDash val="solid"/>
        </a:ln>
      </c:spPr>
    </c:title>
    <c:autoTitleDeleted val="0"/>
    <c:plotArea>
      <c:layout/>
      <c:pieChart>
        <c:varyColors val="1"/>
        <c:ser>
          <c:idx val="0"/>
          <c:order val="0"/>
          <c:tx>
            <c:strRef>
              <c:f>Dashboard!$F$35</c:f>
              <c:strCache>
                <c:ptCount val="1"/>
                <c:pt idx="0">
                  <c:v>Aplicaciones</c:v>
                </c:pt>
              </c:strCache>
            </c:strRef>
          </c:tx>
          <c:spPr>
            <a:solidFill>
              <a:srgbClr val="4F81BD"/>
            </a:solidFill>
            <a:ln w="0">
              <a:noFill/>
              <a:prstDash val="solid"/>
            </a:ln>
          </c:spPr>
          <c:dPt>
            <c:idx val="0"/>
            <c:bubble3D val="0"/>
            <c:spPr>
              <a:ln>
                <a:prstDash val="solid"/>
              </a:ln>
            </c:spPr>
            <c:extLst>
              <c:ext xmlns:c16="http://schemas.microsoft.com/office/drawing/2014/chart" uri="{C3380CC4-5D6E-409C-BE32-E72D297353CC}">
                <c16:uniqueId val="{00000001-99B5-4CDF-9E8F-F2D4C1F0EE59}"/>
              </c:ext>
            </c:extLst>
          </c:dPt>
          <c:dPt>
            <c:idx val="1"/>
            <c:bubble3D val="0"/>
            <c:spPr>
              <a:solidFill>
                <a:srgbClr val="C0504D"/>
              </a:solidFill>
              <a:ln w="0">
                <a:noFill/>
                <a:prstDash val="solid"/>
              </a:ln>
            </c:spPr>
            <c:extLst>
              <c:ext xmlns:c16="http://schemas.microsoft.com/office/drawing/2014/chart" uri="{C3380CC4-5D6E-409C-BE32-E72D297353CC}">
                <c16:uniqueId val="{00000003-99B5-4CDF-9E8F-F2D4C1F0EE59}"/>
              </c:ext>
            </c:extLst>
          </c:dPt>
          <c:dPt>
            <c:idx val="2"/>
            <c:bubble3D val="0"/>
            <c:spPr>
              <a:solidFill>
                <a:srgbClr val="9BBB59"/>
              </a:solidFill>
              <a:ln w="0">
                <a:noFill/>
                <a:prstDash val="solid"/>
              </a:ln>
            </c:spPr>
            <c:extLst>
              <c:ext xmlns:c16="http://schemas.microsoft.com/office/drawing/2014/chart" uri="{C3380CC4-5D6E-409C-BE32-E72D297353CC}">
                <c16:uniqueId val="{00000005-99B5-4CDF-9E8F-F2D4C1F0EE59}"/>
              </c:ext>
            </c:extLst>
          </c:dPt>
          <c:dPt>
            <c:idx val="3"/>
            <c:bubble3D val="0"/>
            <c:spPr>
              <a:solidFill>
                <a:srgbClr val="8064A2"/>
              </a:solidFill>
              <a:ln w="0">
                <a:noFill/>
                <a:prstDash val="solid"/>
              </a:ln>
            </c:spPr>
            <c:extLst>
              <c:ext xmlns:c16="http://schemas.microsoft.com/office/drawing/2014/chart" uri="{C3380CC4-5D6E-409C-BE32-E72D297353CC}">
                <c16:uniqueId val="{00000007-99B5-4CDF-9E8F-F2D4C1F0EE59}"/>
              </c:ext>
            </c:extLst>
          </c:dPt>
          <c:dLbls>
            <c:dLbl>
              <c:idx val="0"/>
              <c:spPr>
                <a:ln>
                  <a:prstDash val="solid"/>
                </a:ln>
              </c:spPr>
              <c:txPr>
                <a:bodyPr wrap="square"/>
                <a:lstStyle/>
                <a:p>
                  <a:pPr>
                    <a:defRPr sz="1000" b="0" strike="noStrike" spc="-1">
                      <a:solidFill>
                        <a:srgbClr val="000000"/>
                      </a:solidFill>
                      <a:latin typeface="Calibri"/>
                    </a:defRPr>
                  </a:pPr>
                  <a:endParaRPr lang="es-MX"/>
                </a:p>
              </c:txPr>
              <c:dLblPos val="bestFit"/>
              <c:showLegendKey val="1"/>
              <c:showVal val="1"/>
              <c:showCatName val="1"/>
              <c:showSerName val="1"/>
              <c:showPercent val="1"/>
              <c:showBubbleSize val="1"/>
              <c:extLst>
                <c:ext xmlns:c16="http://schemas.microsoft.com/office/drawing/2014/chart" uri="{C3380CC4-5D6E-409C-BE32-E72D297353CC}">
                  <c16:uniqueId val="{00000001-99B5-4CDF-9E8F-F2D4C1F0EE59}"/>
                </c:ext>
              </c:extLst>
            </c:dLbl>
            <c:dLbl>
              <c:idx val="1"/>
              <c:spPr>
                <a:ln>
                  <a:prstDash val="solid"/>
                </a:ln>
              </c:spPr>
              <c:txPr>
                <a:bodyPr wrap="square"/>
                <a:lstStyle/>
                <a:p>
                  <a:pPr>
                    <a:defRPr sz="1000" b="0" strike="noStrike" spc="-1">
                      <a:solidFill>
                        <a:srgbClr val="000000"/>
                      </a:solidFill>
                      <a:latin typeface="Calibri"/>
                    </a:defRPr>
                  </a:pPr>
                  <a:endParaRPr lang="es-MX"/>
                </a:p>
              </c:txPr>
              <c:dLblPos val="bestFit"/>
              <c:showLegendKey val="1"/>
              <c:showVal val="1"/>
              <c:showCatName val="1"/>
              <c:showSerName val="1"/>
              <c:showPercent val="1"/>
              <c:showBubbleSize val="1"/>
              <c:extLst>
                <c:ext xmlns:c16="http://schemas.microsoft.com/office/drawing/2014/chart" uri="{C3380CC4-5D6E-409C-BE32-E72D297353CC}">
                  <c16:uniqueId val="{00000003-99B5-4CDF-9E8F-F2D4C1F0EE59}"/>
                </c:ext>
              </c:extLst>
            </c:dLbl>
            <c:dLbl>
              <c:idx val="2"/>
              <c:spPr>
                <a:ln>
                  <a:prstDash val="solid"/>
                </a:ln>
              </c:spPr>
              <c:txPr>
                <a:bodyPr wrap="square"/>
                <a:lstStyle/>
                <a:p>
                  <a:pPr>
                    <a:defRPr sz="1000" b="0" strike="noStrike" spc="-1">
                      <a:solidFill>
                        <a:srgbClr val="000000"/>
                      </a:solidFill>
                      <a:latin typeface="Calibri"/>
                    </a:defRPr>
                  </a:pPr>
                  <a:endParaRPr lang="es-MX"/>
                </a:p>
              </c:txPr>
              <c:dLblPos val="bestFit"/>
              <c:showLegendKey val="1"/>
              <c:showVal val="1"/>
              <c:showCatName val="1"/>
              <c:showSerName val="1"/>
              <c:showPercent val="1"/>
              <c:showBubbleSize val="1"/>
              <c:extLst>
                <c:ext xmlns:c16="http://schemas.microsoft.com/office/drawing/2014/chart" uri="{C3380CC4-5D6E-409C-BE32-E72D297353CC}">
                  <c16:uniqueId val="{00000005-99B5-4CDF-9E8F-F2D4C1F0EE59}"/>
                </c:ext>
              </c:extLst>
            </c:dLbl>
            <c:dLbl>
              <c:idx val="3"/>
              <c:spPr>
                <a:ln>
                  <a:prstDash val="solid"/>
                </a:ln>
              </c:spPr>
              <c:txPr>
                <a:bodyPr wrap="square"/>
                <a:lstStyle/>
                <a:p>
                  <a:pPr>
                    <a:defRPr sz="1000" b="0" strike="noStrike" spc="-1">
                      <a:solidFill>
                        <a:srgbClr val="000000"/>
                      </a:solidFill>
                      <a:latin typeface="Calibri"/>
                    </a:defRPr>
                  </a:pPr>
                  <a:endParaRPr lang="es-MX"/>
                </a:p>
              </c:txPr>
              <c:dLblPos val="bestFit"/>
              <c:showLegendKey val="1"/>
              <c:showVal val="1"/>
              <c:showCatName val="1"/>
              <c:showSerName val="1"/>
              <c:showPercent val="1"/>
              <c:showBubbleSize val="1"/>
              <c:extLst>
                <c:ext xmlns:c16="http://schemas.microsoft.com/office/drawing/2014/chart" uri="{C3380CC4-5D6E-409C-BE32-E72D297353CC}">
                  <c16:uniqueId val="{00000007-99B5-4CDF-9E8F-F2D4C1F0EE59}"/>
                </c:ext>
              </c:extLst>
            </c:dLbl>
            <c:spPr>
              <a:noFill/>
              <a:ln>
                <a:noFill/>
                <a:prstDash val="solid"/>
              </a:ln>
            </c:spPr>
            <c:txPr>
              <a:bodyPr wrap="square"/>
              <a:lstStyle/>
              <a:p>
                <a:pPr>
                  <a:defRPr sz="1000" b="0" strike="noStrike" spc="-1">
                    <a:solidFill>
                      <a:srgbClr val="000000"/>
                    </a:solidFill>
                    <a:latin typeface="Calibri"/>
                  </a:defRPr>
                </a:pPr>
                <a:endParaRPr lang="es-MX"/>
              </a:p>
            </c:txPr>
            <c:dLblPos val="bestFit"/>
            <c:showLegendKey val="1"/>
            <c:showVal val="1"/>
            <c:showCatName val="1"/>
            <c:showSerName val="1"/>
            <c:showPercent val="1"/>
            <c:showBubbleSize val="1"/>
            <c:showLeaderLines val="1"/>
            <c:extLst>
              <c:ext xmlns:c15="http://schemas.microsoft.com/office/drawing/2012/chart" uri="{CE6537A1-D6FC-4f65-9D91-7224C49458BB}"/>
            </c:extLst>
          </c:dLbls>
          <c:cat>
            <c:strRef>
              <c:f>Dashboard!$E$36:$E$39</c:f>
              <c:strCache>
                <c:ptCount val="4"/>
                <c:pt idx="0">
                  <c:v>Mission Critical</c:v>
                </c:pt>
                <c:pt idx="1">
                  <c:v>High</c:v>
                </c:pt>
                <c:pt idx="2">
                  <c:v>Medium</c:v>
                </c:pt>
                <c:pt idx="3">
                  <c:v>Low</c:v>
                </c:pt>
              </c:strCache>
            </c:strRef>
          </c:cat>
          <c:val>
            <c:numRef>
              <c:f>Dashboard!$F$36:$F$39</c:f>
              <c:numCache>
                <c:formatCode>0</c:formatCode>
                <c:ptCount val="4"/>
                <c:pt idx="0">
                  <c:v>23</c:v>
                </c:pt>
                <c:pt idx="1">
                  <c:v>16</c:v>
                </c:pt>
                <c:pt idx="2">
                  <c:v>25</c:v>
                </c:pt>
                <c:pt idx="3">
                  <c:v>4</c:v>
                </c:pt>
              </c:numCache>
            </c:numRef>
          </c:val>
          <c:extLst>
            <c:ext xmlns:c16="http://schemas.microsoft.com/office/drawing/2014/chart" uri="{C3380CC4-5D6E-409C-BE32-E72D297353CC}">
              <c16:uniqueId val="{00000008-99B5-4CDF-9E8F-F2D4C1F0EE59}"/>
            </c:ext>
          </c:extLst>
        </c:ser>
        <c:dLbls>
          <c:showLegendKey val="0"/>
          <c:showVal val="0"/>
          <c:showCatName val="0"/>
          <c:showSerName val="0"/>
          <c:showPercent val="0"/>
          <c:showBubbleSize val="0"/>
          <c:showLeaderLines val="1"/>
        </c:dLbls>
        <c:firstSliceAng val="0"/>
      </c:pieChart>
    </c:plotArea>
    <c:legend>
      <c:legendPos val="r"/>
      <c:overlay val="1"/>
      <c:spPr>
        <a:noFill/>
        <a:ln w="0">
          <a:noFill/>
          <a:prstDash val="solid"/>
        </a:ln>
      </c:spPr>
      <c:txPr>
        <a:bodyPr/>
        <a:lstStyle/>
        <a:p>
          <a:pPr>
            <a:defRPr sz="1000" b="0" strike="noStrike" spc="-1">
              <a:solidFill>
                <a:srgbClr val="000000"/>
              </a:solidFill>
              <a:latin typeface="Calibri"/>
            </a:defRPr>
          </a:pPr>
          <a:endParaRPr lang="es-MX"/>
        </a:p>
      </c:txPr>
    </c:legend>
    <c:plotVisOnly val="1"/>
    <c:dispBlanksAs val="gap"/>
    <c:showDLblsOverMax val="1"/>
  </c:chart>
  <c:spPr>
    <a:solidFill>
      <a:srgbClr val="FFFFFF"/>
    </a:solidFill>
    <a:ln w="9360">
      <a:solidFill>
        <a:srgbClr val="D9D9D9"/>
      </a:solidFill>
      <a:prstDash val="solid"/>
      <a:round/>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rot="0"/>
          <a:lstStyle/>
          <a:p>
            <a:pPr>
              <a:defRPr lang="es-MX" sz="1800" b="1" strike="noStrike" spc="-1">
                <a:solidFill>
                  <a:srgbClr val="000000"/>
                </a:solidFill>
                <a:latin typeface="Calibri"/>
              </a:defRPr>
            </a:pPr>
            <a:r>
              <a:rPr lang="es-MX" sz="1800" b="1" strike="noStrike" spc="-1">
                <a:solidFill>
                  <a:srgbClr val="000000"/>
                </a:solidFill>
                <a:latin typeface="Calibri"/>
              </a:rPr>
              <a:t>Aplicaciones por Modelo de Hosting</a:t>
            </a:r>
          </a:p>
        </c:rich>
      </c:tx>
      <c:layout>
        <c:manualLayout>
          <c:xMode val="edge"/>
          <c:yMode val="edge"/>
          <c:x val="0.57639636867210298"/>
          <c:y val="1.8805014670578799E-2"/>
        </c:manualLayout>
      </c:layout>
      <c:overlay val="0"/>
      <c:spPr>
        <a:noFill/>
        <a:ln w="0">
          <a:noFill/>
          <a:prstDash val="solid"/>
        </a:ln>
      </c:spPr>
    </c:title>
    <c:autoTitleDeleted val="0"/>
    <c:plotArea>
      <c:layout/>
      <c:barChart>
        <c:barDir val="col"/>
        <c:grouping val="clustered"/>
        <c:varyColors val="1"/>
        <c:ser>
          <c:idx val="0"/>
          <c:order val="0"/>
          <c:tx>
            <c:strRef>
              <c:f>Dashboard!$I$35</c:f>
              <c:strCache>
                <c:ptCount val="1"/>
                <c:pt idx="0">
                  <c:v>Aplicaciones</c:v>
                </c:pt>
              </c:strCache>
            </c:strRef>
          </c:tx>
          <c:spPr>
            <a:solidFill>
              <a:srgbClr val="4F81BD"/>
            </a:solidFill>
            <a:ln w="0">
              <a:noFill/>
              <a:prstDash val="solid"/>
            </a:ln>
          </c:spPr>
          <c:invertIfNegative val="0"/>
          <c:dPt>
            <c:idx val="0"/>
            <c:invertIfNegative val="1"/>
            <c:bubble3D val="0"/>
            <c:spPr>
              <a:ln>
                <a:prstDash val="solid"/>
              </a:ln>
            </c:spPr>
            <c:extLst>
              <c:ext xmlns:c16="http://schemas.microsoft.com/office/drawing/2014/chart" uri="{C3380CC4-5D6E-409C-BE32-E72D297353CC}">
                <c16:uniqueId val="{00000001-10B5-4428-A0EF-BE3C54EB484E}"/>
              </c:ext>
            </c:extLst>
          </c:dPt>
          <c:dPt>
            <c:idx val="1"/>
            <c:invertIfNegative val="1"/>
            <c:bubble3D val="0"/>
            <c:spPr>
              <a:solidFill>
                <a:srgbClr val="C0504D"/>
              </a:solidFill>
              <a:ln w="0">
                <a:noFill/>
                <a:prstDash val="solid"/>
              </a:ln>
            </c:spPr>
            <c:extLst>
              <c:ext xmlns:c16="http://schemas.microsoft.com/office/drawing/2014/chart" uri="{C3380CC4-5D6E-409C-BE32-E72D297353CC}">
                <c16:uniqueId val="{00000003-10B5-4428-A0EF-BE3C54EB484E}"/>
              </c:ext>
            </c:extLst>
          </c:dPt>
          <c:dPt>
            <c:idx val="2"/>
            <c:invertIfNegative val="1"/>
            <c:bubble3D val="0"/>
            <c:spPr>
              <a:solidFill>
                <a:srgbClr val="9BBB59"/>
              </a:solidFill>
              <a:ln w="0">
                <a:noFill/>
                <a:prstDash val="solid"/>
              </a:ln>
            </c:spPr>
            <c:extLst>
              <c:ext xmlns:c16="http://schemas.microsoft.com/office/drawing/2014/chart" uri="{C3380CC4-5D6E-409C-BE32-E72D297353CC}">
                <c16:uniqueId val="{00000005-10B5-4428-A0EF-BE3C54EB484E}"/>
              </c:ext>
            </c:extLst>
          </c:dPt>
          <c:dPt>
            <c:idx val="3"/>
            <c:invertIfNegative val="1"/>
            <c:bubble3D val="0"/>
            <c:spPr>
              <a:solidFill>
                <a:srgbClr val="8064A2"/>
              </a:solidFill>
              <a:ln w="0">
                <a:noFill/>
                <a:prstDash val="solid"/>
              </a:ln>
            </c:spPr>
            <c:extLst>
              <c:ext xmlns:c16="http://schemas.microsoft.com/office/drawing/2014/chart" uri="{C3380CC4-5D6E-409C-BE32-E72D297353CC}">
                <c16:uniqueId val="{00000007-10B5-4428-A0EF-BE3C54EB484E}"/>
              </c:ext>
            </c:extLst>
          </c:dPt>
          <c:dLbls>
            <c:dLbl>
              <c:idx val="0"/>
              <c:spPr>
                <a:ln>
                  <a:prstDash val="solid"/>
                </a:ln>
              </c:spPr>
              <c:txPr>
                <a:bodyPr wrap="square"/>
                <a:lstStyle/>
                <a:p>
                  <a:pPr>
                    <a:defRPr sz="1000" b="0" strike="noStrike" spc="-1">
                      <a:solidFill>
                        <a:srgbClr val="000000"/>
                      </a:solidFill>
                      <a:latin typeface="Calibri"/>
                    </a:defRPr>
                  </a:pPr>
                  <a:endParaRPr lang="es-MX"/>
                </a:p>
              </c:txPr>
              <c:dLblPos val="outEnd"/>
              <c:showLegendKey val="1"/>
              <c:showVal val="1"/>
              <c:showCatName val="1"/>
              <c:showSerName val="1"/>
              <c:showPercent val="0"/>
              <c:showBubbleSize val="1"/>
              <c:extLst>
                <c:ext xmlns:c16="http://schemas.microsoft.com/office/drawing/2014/chart" uri="{C3380CC4-5D6E-409C-BE32-E72D297353CC}">
                  <c16:uniqueId val="{00000001-10B5-4428-A0EF-BE3C54EB484E}"/>
                </c:ext>
              </c:extLst>
            </c:dLbl>
            <c:dLbl>
              <c:idx val="1"/>
              <c:spPr>
                <a:ln>
                  <a:prstDash val="solid"/>
                </a:ln>
              </c:spPr>
              <c:txPr>
                <a:bodyPr wrap="square"/>
                <a:lstStyle/>
                <a:p>
                  <a:pPr>
                    <a:defRPr sz="1000" b="0" strike="noStrike" spc="-1">
                      <a:solidFill>
                        <a:srgbClr val="000000"/>
                      </a:solidFill>
                      <a:latin typeface="Calibri"/>
                    </a:defRPr>
                  </a:pPr>
                  <a:endParaRPr lang="es-MX"/>
                </a:p>
              </c:txPr>
              <c:dLblPos val="outEnd"/>
              <c:showLegendKey val="1"/>
              <c:showVal val="1"/>
              <c:showCatName val="1"/>
              <c:showSerName val="1"/>
              <c:showPercent val="0"/>
              <c:showBubbleSize val="1"/>
              <c:extLst>
                <c:ext xmlns:c16="http://schemas.microsoft.com/office/drawing/2014/chart" uri="{C3380CC4-5D6E-409C-BE32-E72D297353CC}">
                  <c16:uniqueId val="{00000003-10B5-4428-A0EF-BE3C54EB484E}"/>
                </c:ext>
              </c:extLst>
            </c:dLbl>
            <c:dLbl>
              <c:idx val="2"/>
              <c:spPr>
                <a:ln>
                  <a:prstDash val="solid"/>
                </a:ln>
              </c:spPr>
              <c:txPr>
                <a:bodyPr wrap="square"/>
                <a:lstStyle/>
                <a:p>
                  <a:pPr>
                    <a:defRPr sz="1000" b="0" strike="noStrike" spc="-1">
                      <a:solidFill>
                        <a:srgbClr val="000000"/>
                      </a:solidFill>
                      <a:latin typeface="Calibri"/>
                    </a:defRPr>
                  </a:pPr>
                  <a:endParaRPr lang="es-MX"/>
                </a:p>
              </c:txPr>
              <c:dLblPos val="outEnd"/>
              <c:showLegendKey val="1"/>
              <c:showVal val="1"/>
              <c:showCatName val="1"/>
              <c:showSerName val="1"/>
              <c:showPercent val="0"/>
              <c:showBubbleSize val="1"/>
              <c:extLst>
                <c:ext xmlns:c16="http://schemas.microsoft.com/office/drawing/2014/chart" uri="{C3380CC4-5D6E-409C-BE32-E72D297353CC}">
                  <c16:uniqueId val="{00000005-10B5-4428-A0EF-BE3C54EB484E}"/>
                </c:ext>
              </c:extLst>
            </c:dLbl>
            <c:dLbl>
              <c:idx val="3"/>
              <c:spPr>
                <a:ln>
                  <a:prstDash val="solid"/>
                </a:ln>
              </c:spPr>
              <c:txPr>
                <a:bodyPr wrap="square"/>
                <a:lstStyle/>
                <a:p>
                  <a:pPr>
                    <a:defRPr sz="1000" b="0" strike="noStrike" spc="-1">
                      <a:solidFill>
                        <a:srgbClr val="000000"/>
                      </a:solidFill>
                      <a:latin typeface="Calibri"/>
                    </a:defRPr>
                  </a:pPr>
                  <a:endParaRPr lang="es-MX"/>
                </a:p>
              </c:txPr>
              <c:dLblPos val="outEnd"/>
              <c:showLegendKey val="1"/>
              <c:showVal val="1"/>
              <c:showCatName val="1"/>
              <c:showSerName val="1"/>
              <c:showPercent val="0"/>
              <c:showBubbleSize val="1"/>
              <c:extLst>
                <c:ext xmlns:c16="http://schemas.microsoft.com/office/drawing/2014/chart" uri="{C3380CC4-5D6E-409C-BE32-E72D297353CC}">
                  <c16:uniqueId val="{00000007-10B5-4428-A0EF-BE3C54EB484E}"/>
                </c:ext>
              </c:extLst>
            </c:dLbl>
            <c:spPr>
              <a:noFill/>
              <a:ln>
                <a:noFill/>
                <a:prstDash val="solid"/>
              </a:ln>
            </c:spPr>
            <c:txPr>
              <a:bodyPr wrap="square"/>
              <a:lstStyle/>
              <a:p>
                <a:pPr>
                  <a:defRPr sz="1000" b="0" strike="noStrike" spc="-1">
                    <a:solidFill>
                      <a:srgbClr val="000000"/>
                    </a:solidFill>
                    <a:latin typeface="Calibri"/>
                  </a:defRPr>
                </a:pPr>
                <a:endParaRPr lang="es-MX"/>
              </a:p>
            </c:txPr>
            <c:dLblPos val="outEnd"/>
            <c:showLegendKey val="1"/>
            <c:showVal val="1"/>
            <c:showCatName val="1"/>
            <c:showSerName val="1"/>
            <c:showPercent val="0"/>
            <c:showBubbleSize val="1"/>
            <c:showLeaderLines val="0"/>
            <c:extLst>
              <c:ext xmlns:c15="http://schemas.microsoft.com/office/drawing/2012/chart" uri="{CE6537A1-D6FC-4f65-9D91-7224C49458BB}">
                <c15:showLeaderLines val="0"/>
              </c:ext>
            </c:extLst>
          </c:dLbls>
          <c:cat>
            <c:strRef>
              <c:f>Dashboard!$H$36:$H$39</c:f>
              <c:strCache>
                <c:ptCount val="4"/>
                <c:pt idx="0">
                  <c:v>On-Premises</c:v>
                </c:pt>
                <c:pt idx="1">
                  <c:v>Cloud-SaaS</c:v>
                </c:pt>
                <c:pt idx="2">
                  <c:v>Cloud-IaaS/PaaS</c:v>
                </c:pt>
                <c:pt idx="3">
                  <c:v>Hybrid</c:v>
                </c:pt>
              </c:strCache>
            </c:strRef>
          </c:cat>
          <c:val>
            <c:numRef>
              <c:f>Dashboard!$I$36:$I$39</c:f>
              <c:numCache>
                <c:formatCode>0</c:formatCode>
                <c:ptCount val="4"/>
                <c:pt idx="0">
                  <c:v>1</c:v>
                </c:pt>
                <c:pt idx="1">
                  <c:v>36</c:v>
                </c:pt>
                <c:pt idx="2">
                  <c:v>2</c:v>
                </c:pt>
                <c:pt idx="3">
                  <c:v>6</c:v>
                </c:pt>
              </c:numCache>
            </c:numRef>
          </c:val>
          <c:extLst>
            <c:ext xmlns:c16="http://schemas.microsoft.com/office/drawing/2014/chart" uri="{C3380CC4-5D6E-409C-BE32-E72D297353CC}">
              <c16:uniqueId val="{00000008-10B5-4428-A0EF-BE3C54EB484E}"/>
            </c:ext>
          </c:extLst>
        </c:ser>
        <c:dLbls>
          <c:showLegendKey val="0"/>
          <c:showVal val="0"/>
          <c:showCatName val="0"/>
          <c:showSerName val="0"/>
          <c:showPercent val="0"/>
          <c:showBubbleSize val="0"/>
        </c:dLbls>
        <c:gapWidth val="150"/>
        <c:axId val="97775955"/>
        <c:axId val="15049999"/>
      </c:barChart>
      <c:catAx>
        <c:axId val="97775955"/>
        <c:scaling>
          <c:orientation val="minMax"/>
        </c:scaling>
        <c:delete val="1"/>
        <c:axPos val="b"/>
        <c:numFmt formatCode="General" sourceLinked="1"/>
        <c:majorTickMark val="none"/>
        <c:minorTickMark val="none"/>
        <c:tickLblPos val="nextTo"/>
        <c:crossAx val="15049999"/>
        <c:crosses val="autoZero"/>
        <c:auto val="1"/>
        <c:lblAlgn val="ctr"/>
        <c:lblOffset val="100"/>
        <c:noMultiLvlLbl val="0"/>
      </c:catAx>
      <c:valAx>
        <c:axId val="15049999"/>
        <c:scaling>
          <c:orientation val="minMax"/>
        </c:scaling>
        <c:delete val="1"/>
        <c:axPos val="l"/>
        <c:majorGridlines>
          <c:spPr>
            <a:ln w="0">
              <a:solidFill>
                <a:srgbClr val="B3B3B3"/>
              </a:solidFill>
              <a:prstDash val="solid"/>
            </a:ln>
          </c:spPr>
        </c:majorGridlines>
        <c:title>
          <c:tx>
            <c:rich>
              <a:bodyPr rot="-5400000"/>
              <a:lstStyle/>
              <a:p>
                <a:pPr>
                  <a:defRPr lang="es-MX" sz="1000" b="1" strike="noStrike" spc="-1">
                    <a:solidFill>
                      <a:srgbClr val="000000"/>
                    </a:solidFill>
                    <a:latin typeface="Calibri"/>
                  </a:defRPr>
                </a:pPr>
                <a:r>
                  <a:rPr lang="es-MX" sz="1000" b="1" strike="noStrike" spc="-1">
                    <a:solidFill>
                      <a:srgbClr val="000000"/>
                    </a:solidFill>
                    <a:latin typeface="Calibri"/>
                  </a:rPr>
                  <a:t>Aplicaciones</a:t>
                </a:r>
              </a:p>
            </c:rich>
          </c:tx>
          <c:overlay val="0"/>
          <c:spPr>
            <a:noFill/>
            <a:ln w="0">
              <a:noFill/>
              <a:prstDash val="solid"/>
            </a:ln>
          </c:spPr>
        </c:title>
        <c:numFmt formatCode="0" sourceLinked="1"/>
        <c:majorTickMark val="none"/>
        <c:minorTickMark val="none"/>
        <c:tickLblPos val="nextTo"/>
        <c:crossAx val="97775955"/>
        <c:crosses val="autoZero"/>
        <c:crossBetween val="between"/>
      </c:valAx>
    </c:plotArea>
    <c:plotVisOnly val="1"/>
    <c:dispBlanksAs val="gap"/>
    <c:showDLblsOverMax val="1"/>
  </c:chart>
  <c:spPr>
    <a:solidFill>
      <a:srgbClr val="FFFFFF"/>
    </a:solidFill>
    <a:ln w="9360">
      <a:solidFill>
        <a:srgbClr val="D9D9D9"/>
      </a:solidFill>
      <a:prstDash val="solid"/>
      <a:roun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2" Type="http://schemas.openxmlformats.org/officeDocument/2006/relationships/image" Target="../media/image1.jpe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image" Target="../media/image1.jpeg"/><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3</xdr:col>
      <xdr:colOff>0</xdr:colOff>
      <xdr:row>25</xdr:row>
      <xdr:rowOff>0</xdr:rowOff>
    </xdr:from>
    <xdr:to>
      <xdr:col>5</xdr:col>
      <xdr:colOff>783720</xdr:colOff>
      <xdr:row>28</xdr:row>
      <xdr:rowOff>56160</xdr:rowOff>
    </xdr:to>
    <xdr:pic>
      <xdr:nvPicPr>
        <xdr:cNvPr id="2" name="Image 1" descr="Picture">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a:stretch>
          <a:fillRect/>
        </a:stretch>
      </xdr:blipFill>
      <xdr:spPr>
        <a:xfrm>
          <a:off x="1550520" y="5962680"/>
          <a:ext cx="2757600" cy="656280"/>
        </a:xfrm>
        <a:prstGeom prst="rect">
          <a:avLst/>
        </a:prstGeom>
        <a:ln w="0">
          <a:noFill/>
          <a:prstDash val="solid"/>
        </a:ln>
      </xdr:spPr>
    </xdr:pic>
    <xdr:clientData/>
  </xdr:twoCellAnchor>
  <xdr:twoCellAnchor editAs="oneCell">
    <xdr:from>
      <xdr:col>3</xdr:col>
      <xdr:colOff>0</xdr:colOff>
      <xdr:row>33</xdr:row>
      <xdr:rowOff>0</xdr:rowOff>
    </xdr:from>
    <xdr:to>
      <xdr:col>5</xdr:col>
      <xdr:colOff>402840</xdr:colOff>
      <xdr:row>35</xdr:row>
      <xdr:rowOff>37080</xdr:rowOff>
    </xdr:to>
    <xdr:pic>
      <xdr:nvPicPr>
        <xdr:cNvPr id="3" name="Image 2" descr="Picture">
          <a:extLst>
            <a:ext uri="{FF2B5EF4-FFF2-40B4-BE49-F238E27FC236}">
              <a16:creationId xmlns:a16="http://schemas.microsoft.com/office/drawing/2014/main" id="{00000000-0008-0000-0000-000003000000}"/>
            </a:ext>
          </a:extLst>
        </xdr:cNvPr>
        <xdr:cNvPicPr/>
      </xdr:nvPicPr>
      <xdr:blipFill>
        <a:blip xmlns:r="http://schemas.openxmlformats.org/officeDocument/2006/relationships" r:embed="rId2"/>
        <a:stretch>
          <a:fillRect/>
        </a:stretch>
      </xdr:blipFill>
      <xdr:spPr>
        <a:xfrm>
          <a:off x="1550520" y="7562880"/>
          <a:ext cx="2376720" cy="437040"/>
        </a:xfrm>
        <a:prstGeom prst="rect">
          <a:avLst/>
        </a:prstGeom>
        <a:ln w="0">
          <a:noFill/>
          <a:prstDash val="solid"/>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19080</xdr:colOff>
      <xdr:row>0</xdr:row>
      <xdr:rowOff>38160</xdr:rowOff>
    </xdr:from>
    <xdr:to>
      <xdr:col>1</xdr:col>
      <xdr:colOff>799920</xdr:colOff>
      <xdr:row>0</xdr:row>
      <xdr:rowOff>199800</xdr:rowOff>
    </xdr:to>
    <xdr:pic>
      <xdr:nvPicPr>
        <xdr:cNvPr id="2" name="Image 1" descr="Picture">
          <a:extLst>
            <a:ext uri="{FF2B5EF4-FFF2-40B4-BE49-F238E27FC236}">
              <a16:creationId xmlns:a16="http://schemas.microsoft.com/office/drawing/2014/main" id="{00000000-0008-0000-0100-000002000000}"/>
            </a:ext>
          </a:extLst>
        </xdr:cNvPr>
        <xdr:cNvPicPr/>
      </xdr:nvPicPr>
      <xdr:blipFill>
        <a:blip xmlns:r="http://schemas.openxmlformats.org/officeDocument/2006/relationships" r:embed="rId1"/>
        <a:stretch>
          <a:fillRect/>
        </a:stretch>
      </xdr:blipFill>
      <xdr:spPr>
        <a:xfrm>
          <a:off x="230400" y="38160"/>
          <a:ext cx="780840" cy="161640"/>
        </a:xfrm>
        <a:prstGeom prst="rect">
          <a:avLst/>
        </a:prstGeom>
        <a:ln w="0">
          <a:noFill/>
          <a:prstDash val="solid"/>
        </a:ln>
      </xdr:spPr>
    </xdr:pic>
    <xdr:clientData/>
  </xdr:twoCellAnchor>
  <xdr:twoCellAnchor editAs="oneCell">
    <xdr:from>
      <xdr:col>1</xdr:col>
      <xdr:colOff>905040</xdr:colOff>
      <xdr:row>0</xdr:row>
      <xdr:rowOff>19080</xdr:rowOff>
    </xdr:from>
    <xdr:to>
      <xdr:col>1</xdr:col>
      <xdr:colOff>1809720</xdr:colOff>
      <xdr:row>0</xdr:row>
      <xdr:rowOff>256680</xdr:rowOff>
    </xdr:to>
    <xdr:pic>
      <xdr:nvPicPr>
        <xdr:cNvPr id="3" name="Image 2" descr="Picture">
          <a:extLst>
            <a:ext uri="{FF2B5EF4-FFF2-40B4-BE49-F238E27FC236}">
              <a16:creationId xmlns:a16="http://schemas.microsoft.com/office/drawing/2014/main" id="{00000000-0008-0000-0100-000003000000}"/>
            </a:ext>
          </a:extLst>
        </xdr:cNvPr>
        <xdr:cNvPicPr/>
      </xdr:nvPicPr>
      <xdr:blipFill>
        <a:blip xmlns:r="http://schemas.openxmlformats.org/officeDocument/2006/relationships" r:embed="rId2"/>
        <a:stretch>
          <a:fillRect/>
        </a:stretch>
      </xdr:blipFill>
      <xdr:spPr>
        <a:xfrm>
          <a:off x="1116360" y="19080"/>
          <a:ext cx="904680" cy="237600"/>
        </a:xfrm>
        <a:prstGeom prst="rect">
          <a:avLst/>
        </a:prstGeom>
        <a:ln w="0">
          <a:noFill/>
          <a:prstDash val="solid"/>
        </a:ln>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19080</xdr:colOff>
      <xdr:row>0</xdr:row>
      <xdr:rowOff>38160</xdr:rowOff>
    </xdr:from>
    <xdr:to>
      <xdr:col>1</xdr:col>
      <xdr:colOff>338760</xdr:colOff>
      <xdr:row>0</xdr:row>
      <xdr:rowOff>182460</xdr:rowOff>
    </xdr:to>
    <xdr:pic>
      <xdr:nvPicPr>
        <xdr:cNvPr id="4" name="Image 1" descr="Picture">
          <a:extLst>
            <a:ext uri="{FF2B5EF4-FFF2-40B4-BE49-F238E27FC236}">
              <a16:creationId xmlns:a16="http://schemas.microsoft.com/office/drawing/2014/main" id="{00000000-0008-0000-0200-000004000000}"/>
            </a:ext>
          </a:extLst>
        </xdr:cNvPr>
        <xdr:cNvPicPr/>
      </xdr:nvPicPr>
      <xdr:blipFill>
        <a:blip xmlns:r="http://schemas.openxmlformats.org/officeDocument/2006/relationships" r:embed="rId1"/>
        <a:stretch>
          <a:fillRect/>
        </a:stretch>
      </xdr:blipFill>
      <xdr:spPr>
        <a:xfrm>
          <a:off x="19080" y="38160"/>
          <a:ext cx="742680" cy="151920"/>
        </a:xfrm>
        <a:prstGeom prst="rect">
          <a:avLst/>
        </a:prstGeom>
        <a:ln w="0">
          <a:noFill/>
          <a:prstDash val="solid"/>
        </a:ln>
      </xdr:spPr>
    </xdr:pic>
    <xdr:clientData/>
  </xdr:twoCellAnchor>
  <xdr:twoCellAnchor editAs="oneCell">
    <xdr:from>
      <xdr:col>4</xdr:col>
      <xdr:colOff>386640</xdr:colOff>
      <xdr:row>0</xdr:row>
      <xdr:rowOff>19080</xdr:rowOff>
    </xdr:from>
    <xdr:to>
      <xdr:col>4</xdr:col>
      <xdr:colOff>1243440</xdr:colOff>
      <xdr:row>1</xdr:row>
      <xdr:rowOff>56820</xdr:rowOff>
    </xdr:to>
    <xdr:pic>
      <xdr:nvPicPr>
        <xdr:cNvPr id="5" name="Image 2" descr="Picture">
          <a:extLst>
            <a:ext uri="{FF2B5EF4-FFF2-40B4-BE49-F238E27FC236}">
              <a16:creationId xmlns:a16="http://schemas.microsoft.com/office/drawing/2014/main" id="{00000000-0008-0000-0200-000005000000}"/>
            </a:ext>
          </a:extLst>
        </xdr:cNvPr>
        <xdr:cNvPicPr/>
      </xdr:nvPicPr>
      <xdr:blipFill>
        <a:blip xmlns:r="http://schemas.openxmlformats.org/officeDocument/2006/relationships" r:embed="rId2"/>
        <a:stretch>
          <a:fillRect/>
        </a:stretch>
      </xdr:blipFill>
      <xdr:spPr>
        <a:xfrm>
          <a:off x="809640" y="19080"/>
          <a:ext cx="856800" cy="228240"/>
        </a:xfrm>
        <a:prstGeom prst="rect">
          <a:avLst/>
        </a:prstGeom>
        <a:ln w="0">
          <a:noFill/>
          <a:prstDash val="solid"/>
        </a:ln>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0</xdr:colOff>
      <xdr:row>40</xdr:row>
      <xdr:rowOff>0</xdr:rowOff>
    </xdr:from>
    <xdr:to>
      <xdr:col>9</xdr:col>
      <xdr:colOff>492840</xdr:colOff>
      <xdr:row>55</xdr:row>
      <xdr:rowOff>60120</xdr:rowOff>
    </xdr:to>
    <xdr:graphicFrame macro="">
      <xdr:nvGraphicFramePr>
        <xdr:cNvPr id="2" name="Chart 1">
          <a:extLst>
            <a:ext uri="{FF2B5EF4-FFF2-40B4-BE49-F238E27FC236}">
              <a16:creationId xmlns:a16="http://schemas.microsoft.com/office/drawing/2014/main" id="{00000000-0008-0000-04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9</xdr:col>
      <xdr:colOff>435600</xdr:colOff>
      <xdr:row>49</xdr:row>
      <xdr:rowOff>3960</xdr:rowOff>
    </xdr:from>
    <xdr:to>
      <xdr:col>16</xdr:col>
      <xdr:colOff>142560</xdr:colOff>
      <xdr:row>63</xdr:row>
      <xdr:rowOff>169200</xdr:rowOff>
    </xdr:to>
    <xdr:graphicFrame macro="">
      <xdr:nvGraphicFramePr>
        <xdr:cNvPr id="3" name="Chart 2">
          <a:extLst>
            <a:ext uri="{FF2B5EF4-FFF2-40B4-BE49-F238E27FC236}">
              <a16:creationId xmlns:a16="http://schemas.microsoft.com/office/drawing/2014/main" id="{00000000-0008-0000-04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163440</xdr:colOff>
      <xdr:row>57</xdr:row>
      <xdr:rowOff>174240</xdr:rowOff>
    </xdr:from>
    <xdr:to>
      <xdr:col>9</xdr:col>
      <xdr:colOff>444960</xdr:colOff>
      <xdr:row>72</xdr:row>
      <xdr:rowOff>158400</xdr:rowOff>
    </xdr:to>
    <xdr:graphicFrame macro="">
      <xdr:nvGraphicFramePr>
        <xdr:cNvPr id="4" name="Chart 3">
          <a:extLst>
            <a:ext uri="{FF2B5EF4-FFF2-40B4-BE49-F238E27FC236}">
              <a16:creationId xmlns:a16="http://schemas.microsoft.com/office/drawing/2014/main" id="{00000000-0008-0000-04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hyperlink" Target="https://tecmx.sharepoint.com/sites/TD-EcosistemaDigtalVPAF/Shared%20Documents/Forms/AllItems.aspx?id=%2Fsites%2FTD-EcosistemaDigtalVPAF%2FShared%20Documents%2FGeneral%2F12.%20Estrategia%20de%20Datos%2FTransformaci&#243;n%2FEcosistema%20Digital%20del%20Futuro%252" TargetMode="External"/><Relationship Id="rId2" Type="http://schemas.openxmlformats.org/officeDocument/2006/relationships/hyperlink" Target="https://tecmx.sharepoint.com/sites/TD-EcosistemaDigtalVPAF/Shared%20Documents/Forms/AllItems.aspx?id=%2Fsites%2FTD-EcosistemaDigtalVPAF%2FShared%20Documents%2FGeneral%2F12.%20Estrategia%20de%20Datos%2FTransformaci&#243;n%2FEcosistema%20Digital%20del%20Futuro%252" TargetMode="External"/><Relationship Id="rId1" Type="http://schemas.openxmlformats.org/officeDocument/2006/relationships/hyperlink" Target="https://tecmx.sharepoint.com/sites/TD-EcosistemaDigtalVPAF/Shared%20Documents/Forms/AllItems.aspx?id=%2Fsites%2FTD-EcosistemaDigtalVPAF%2FShared%20Documents%2FGeneral%2F12.%20Estrategia%20de%20Datos%2FTransformaci&#243;n%2FEcosistema%20Digital%20del%20Futuro%252" TargetMode="External"/><Relationship Id="rId4"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6" Type="http://schemas.openxmlformats.org/officeDocument/2006/relationships/hyperlink" Target="mailto:jebreyes@tec.mx" TargetMode="External"/><Relationship Id="rId21" Type="http://schemas.openxmlformats.org/officeDocument/2006/relationships/hyperlink" Target="mailto:victor.tena@tec.mx" TargetMode="External"/><Relationship Id="rId42" Type="http://schemas.openxmlformats.org/officeDocument/2006/relationships/hyperlink" Target="https://tecmx.sharepoint.com/sites/TD-EcosistemaDigtalVPAF/Shared%20Documents/Forms/AllItems.aspx?id=%2Fsites%2FTD-EcosistemaDigtalVPAF%2FShared%20Documents%2FGeneral%2F12.%20Estrategia%20de%20Datos%2FTransformaci&#243;n%2FEcosistema%20Digital%20del%20Futuro%252" TargetMode="External"/><Relationship Id="rId47" Type="http://schemas.openxmlformats.org/officeDocument/2006/relationships/hyperlink" Target="https://maestriasydiplomados.tec.mx/" TargetMode="External"/><Relationship Id="rId63" Type="http://schemas.openxmlformats.org/officeDocument/2006/relationships/hyperlink" Target="mailto:hcolon@tec.mx" TargetMode="External"/><Relationship Id="rId68" Type="http://schemas.openxmlformats.org/officeDocument/2006/relationships/hyperlink" Target="https://market.tec.mx/login?samltec" TargetMode="External"/><Relationship Id="rId84" Type="http://schemas.openxmlformats.org/officeDocument/2006/relationships/hyperlink" Target="mailto:arturo.a@tec.mx" TargetMode="External"/><Relationship Id="rId89" Type="http://schemas.openxmlformats.org/officeDocument/2006/relationships/hyperlink" Target="https://tecmx.sharepoint.com/sites/TD-EcosistemaDigtalVPAF/Shared%20Documents/Forms/AllItems.aspx?id=%2Fsites%2FTD-EcosistemaDigtalVPAF%2FShared%20Documents%2FGeneral%2F12.%20Estrategia%20de%20Datos%2FTransformaci&#243;n%2FEcosistema%20Digital%20del%20Futuro%252" TargetMode="External"/><Relationship Id="rId16" Type="http://schemas.openxmlformats.org/officeDocument/2006/relationships/hyperlink" Target="https://dev.iportafolio.app/" TargetMode="External"/><Relationship Id="rId11" Type="http://schemas.openxmlformats.org/officeDocument/2006/relationships/hyperlink" Target="mailto:jorge.limon@tec.mx" TargetMode="External"/><Relationship Id="rId32" Type="http://schemas.openxmlformats.org/officeDocument/2006/relationships/hyperlink" Target="mailto:josemiguel@tec.mx%20+%20Equipo%20de%20Carlos" TargetMode="External"/><Relationship Id="rId37" Type="http://schemas.openxmlformats.org/officeDocument/2006/relationships/hyperlink" Target="https://educacioncontinuatec.instructure.com/" TargetMode="External"/><Relationship Id="rId53" Type="http://schemas.openxmlformats.org/officeDocument/2006/relationships/hyperlink" Target="mailto:antoniovillanueva_844@tec.mx" TargetMode="External"/><Relationship Id="rId58" Type="http://schemas.openxmlformats.org/officeDocument/2006/relationships/hyperlink" Target="https://pivotea.tecmilab.com.mx/" TargetMode="External"/><Relationship Id="rId74" Type="http://schemas.openxmlformats.org/officeDocument/2006/relationships/hyperlink" Target="mailto:t-romangonzalez@itesm.mx" TargetMode="External"/><Relationship Id="rId79" Type="http://schemas.openxmlformats.org/officeDocument/2006/relationships/hyperlink" Target="https://tecmx.sharepoint.com/sites/TD-EcosistemaDigtalVPAF/Shared%20Documents/Forms/AllItems.aspx?id=%2Fsites%2FTD-EcosistemaDigtalVPAF%2FShared%20Documents%2FGeneral%2F12.%20Estrategia%20de%20Datos%2FTransformaci&#243;n%2FEcosistema%20Digital%20del%20Futuro%252" TargetMode="External"/><Relationship Id="rId5" Type="http://schemas.openxmlformats.org/officeDocument/2006/relationships/hyperlink" Target="mailto:victor.tena@tec.mx" TargetMode="External"/><Relationship Id="rId90" Type="http://schemas.openxmlformats.org/officeDocument/2006/relationships/hyperlink" Target="https://tecmx.sharepoint.com/sites/TD-EcosistemaDigtalVPAF/Shared%20Documents/Forms/AllItems.aspx?id=%2Fsites%2FTD-EcosistemaDigtalVPAF%2FShared%20Documents%2FGeneral%2F12.%20Estrategia%20de%20Datos%2FTransformaci&#243;n%2FEcosistema%20Digital%20del%20Futuro%252" TargetMode="External"/><Relationship Id="rId95" Type="http://schemas.openxmlformats.org/officeDocument/2006/relationships/vmlDrawing" Target="../drawings/vmlDrawing1.vml"/><Relationship Id="rId22" Type="http://schemas.openxmlformats.org/officeDocument/2006/relationships/hyperlink" Target="mailto:victor.tena@tec.mx" TargetMode="External"/><Relationship Id="rId27" Type="http://schemas.openxmlformats.org/officeDocument/2006/relationships/hyperlink" Target="mailto:josemiguel@tec.mx" TargetMode="External"/><Relationship Id="rId43" Type="http://schemas.openxmlformats.org/officeDocument/2006/relationships/hyperlink" Target="https://tecmx.sharepoint.com/sites/TD-EcosistemaDigtalVPAF/Shared%20Documents/Forms/AllItems.aspx?id=%2Fsites%2FTD-EcosistemaDigtalVPAF%2FShared%20Documents%2FGeneral%2F12.%20Estrategia%20de%20Datos%2FTransformaci&#243;n%2FEcosistema%20Digital%20del%20Futuro%252" TargetMode="External"/><Relationship Id="rId48" Type="http://schemas.openxmlformats.org/officeDocument/2006/relationships/hyperlink" Target="https://tecmx.sharepoint.com/sites/TD-EcosistemaDigtalVPAF/Shared%20Documents/Forms/AllItems.aspx?id=%2Fsites%2FTD-EcosistemaDigtalVPAF%2FShared%20Documents%2FGeneral%2F12.%20Estrategia%20de%20Datos%2FTransformaci&#243;n%2FEcosistema%20Digital%20del%20Futuro%252" TargetMode="External"/><Relationship Id="rId64" Type="http://schemas.openxmlformats.org/officeDocument/2006/relationships/hyperlink" Target="mailto:erika.carrizales@tec.mx" TargetMode="External"/><Relationship Id="rId69" Type="http://schemas.openxmlformats.org/officeDocument/2006/relationships/hyperlink" Target="mailto:g.garcia.sigg@tec.mx" TargetMode="External"/><Relationship Id="rId8" Type="http://schemas.openxmlformats.org/officeDocument/2006/relationships/hyperlink" Target="https://sso-saml.tec.mx/" TargetMode="External"/><Relationship Id="rId51" Type="http://schemas.openxmlformats.org/officeDocument/2006/relationships/hyperlink" Target="mailto:hcolon@tec.mx" TargetMode="External"/><Relationship Id="rId72" Type="http://schemas.openxmlformats.org/officeDocument/2006/relationships/hyperlink" Target="https://tecmx.sharepoint.com/sites/TD-EcosistemaDigtalVPAF/Shared%20Documents/Forms/AllItems.aspx?id=%2Fsites%2FTD-EcosistemaDigtalVPAF%2FShared%20Documents%2FGeneral%2F12.%20Estrategia%20de%20Datos%2FTransformaci&#243;n%2FEcosistema%20Digital%20del%20Futuro%252" TargetMode="External"/><Relationship Id="rId80" Type="http://schemas.openxmlformats.org/officeDocument/2006/relationships/hyperlink" Target="mailto:rafael.velez@tec.mx%20/%20cfrancor@tec.mx" TargetMode="External"/><Relationship Id="rId85" Type="http://schemas.openxmlformats.org/officeDocument/2006/relationships/hyperlink" Target="mailto:alma.ortizh@tec.mx" TargetMode="External"/><Relationship Id="rId93" Type="http://schemas.openxmlformats.org/officeDocument/2006/relationships/hyperlink" Target="mailto:victor.tena@tec.mx" TargetMode="External"/><Relationship Id="rId3" Type="http://schemas.openxmlformats.org/officeDocument/2006/relationships/hyperlink" Target="https://tecmx.sharepoint.com/sites/TD-EcosistemaDigtalVPAF/Shared%20Documents/Forms/AllItems.aspx?id=%2Fsites%2FTD-EcosistemaDigtalVPAF%2FShared%20Documents%2FGeneral%2F12.%20Estrategia%20de%20Datos%2FTransformaci&#243;n%2FEcosistema%20Digital%20del%20Futuro%252" TargetMode="External"/><Relationship Id="rId12" Type="http://schemas.openxmlformats.org/officeDocument/2006/relationships/hyperlink" Target="mailto:anacopeliaalvarado@tec.mx%20-%3e%20Uman%20Diez" TargetMode="External"/><Relationship Id="rId17" Type="http://schemas.openxmlformats.org/officeDocument/2006/relationships/hyperlink" Target="mailto:angelina.alarcon@tec.mx" TargetMode="External"/><Relationship Id="rId25" Type="http://schemas.openxmlformats.org/officeDocument/2006/relationships/hyperlink" Target="mailto:alan.bustamante@tec.mx" TargetMode="External"/><Relationship Id="rId33" Type="http://schemas.openxmlformats.org/officeDocument/2006/relationships/hyperlink" Target="mailto:josemiguel@tec.mx%20+%20Equipo%20de%20Carlos" TargetMode="External"/><Relationship Id="rId38" Type="http://schemas.openxmlformats.org/officeDocument/2006/relationships/hyperlink" Target="https://tecmx.sharepoint.com/sites/TD-EcosistemaDigtalVPAF/Shared%20Documents/Forms/AllItems.aspx?id=%2Fsites%2FTD-EcosistemaDigtalVPAF%2FShared%20Documents%2FGeneral%2F12.%20Estrategia%20de%20Datos%2FTransformaci&#243;n%2FEcosistema%20Digital%20del%20Futuro%252" TargetMode="External"/><Relationship Id="rId46" Type="http://schemas.openxmlformats.org/officeDocument/2006/relationships/hyperlink" Target="mailto:rosario_perez@tec.mx%20/%20Gama%20Logistica" TargetMode="External"/><Relationship Id="rId59" Type="http://schemas.openxmlformats.org/officeDocument/2006/relationships/hyperlink" Target="mailto:hcolon@tec.mx" TargetMode="External"/><Relationship Id="rId67" Type="http://schemas.openxmlformats.org/officeDocument/2006/relationships/hyperlink" Target="https://tecmx.sharepoint.com/sites/TD-EcosistemaDigtalVPAF/Shared%20Documents/Forms/AllItems.aspx?id=%2Fsites%2FTD-EcosistemaDigtalVPAF%2FShared%20Documents%2FGeneral%2F12.%20Estrategia%20de%20Datos%2FTransformaci&#243;n%2FEcosistema%20Digital%20del%20Futuro%252" TargetMode="External"/><Relationship Id="rId20" Type="http://schemas.openxmlformats.org/officeDocument/2006/relationships/hyperlink" Target="mailto:victor.tena@tec.mx" TargetMode="External"/><Relationship Id="rId41" Type="http://schemas.openxmlformats.org/officeDocument/2006/relationships/hyperlink" Target="mailto:rosario_perez@tec.mx%20-%3e%20se%20entregar&#225;%20a%20Uman%20Diez" TargetMode="External"/><Relationship Id="rId54" Type="http://schemas.openxmlformats.org/officeDocument/2006/relationships/hyperlink" Target="mailto:antoniovillanueva_844@tec.mx" TargetMode="External"/><Relationship Id="rId62" Type="http://schemas.openxmlformats.org/officeDocument/2006/relationships/hyperlink" Target="mailto:antoniovillanueva_844@tec.mx" TargetMode="External"/><Relationship Id="rId70" Type="http://schemas.openxmlformats.org/officeDocument/2006/relationships/hyperlink" Target="mailto:ctvalenzuela@tec.mx%20-%3e%20se%20pasar&#225;%20a%20Uman%20Diez" TargetMode="External"/><Relationship Id="rId75" Type="http://schemas.openxmlformats.org/officeDocument/2006/relationships/hyperlink" Target="mailto:rrico@tec.mx" TargetMode="External"/><Relationship Id="rId83" Type="http://schemas.openxmlformats.org/officeDocument/2006/relationships/hyperlink" Target="mailto:arturo.a@tec.mx" TargetMode="External"/><Relationship Id="rId88" Type="http://schemas.openxmlformats.org/officeDocument/2006/relationships/hyperlink" Target="https://tecmx.sharepoint.com/sites/TD-EcosistemaDigtalVPAF/Shared%20Documents/Forms/AllItems.aspx?id=%2Fsites%2FTD-EcosistemaDigtalVPAF%2FShared%20Documents%2FGeneral%2F12.%20Estrategia%20de%20Datos%2FTransformaci&#243;n%2FEcosistema%20Digital%20del%20Futuro%252" TargetMode="External"/><Relationship Id="rId91" Type="http://schemas.openxmlformats.org/officeDocument/2006/relationships/hyperlink" Target="mailto:victor.tena@tec.mx" TargetMode="External"/><Relationship Id="rId96" Type="http://schemas.openxmlformats.org/officeDocument/2006/relationships/comments" Target="../comments1.xml"/><Relationship Id="rId1" Type="http://schemas.openxmlformats.org/officeDocument/2006/relationships/hyperlink" Target="mailto:claudia.arellano@tec.mx" TargetMode="External"/><Relationship Id="rId6" Type="http://schemas.openxmlformats.org/officeDocument/2006/relationships/hyperlink" Target="mailto:victor.tena@tec.mx" TargetMode="External"/><Relationship Id="rId15" Type="http://schemas.openxmlformats.org/officeDocument/2006/relationships/hyperlink" Target="https://dev.iportafolio.app/" TargetMode="External"/><Relationship Id="rId23" Type="http://schemas.openxmlformats.org/officeDocument/2006/relationships/hyperlink" Target="https://www.tecdap.net/help" TargetMode="External"/><Relationship Id="rId28" Type="http://schemas.openxmlformats.org/officeDocument/2006/relationships/hyperlink" Target="mailto:oscar.rdz@tec.mx" TargetMode="External"/><Relationship Id="rId36" Type="http://schemas.openxmlformats.org/officeDocument/2006/relationships/hyperlink" Target="mailto:aoropeza@tec.mx" TargetMode="External"/><Relationship Id="rId49" Type="http://schemas.openxmlformats.org/officeDocument/2006/relationships/hyperlink" Target="mailto:alejandro_medina@tec.mx" TargetMode="External"/><Relationship Id="rId57" Type="http://schemas.openxmlformats.org/officeDocument/2006/relationships/hyperlink" Target="mailto:rosario_perez@tec.mx" TargetMode="External"/><Relationship Id="rId10" Type="http://schemas.openxmlformats.org/officeDocument/2006/relationships/hyperlink" Target="https://sso-saml-qa.tec.mx/" TargetMode="External"/><Relationship Id="rId31" Type="http://schemas.openxmlformats.org/officeDocument/2006/relationships/hyperlink" Target="mailto:josemiguel@tec.mx%20+%20Equipo%20de%20Carlos" TargetMode="External"/><Relationship Id="rId44" Type="http://schemas.openxmlformats.org/officeDocument/2006/relationships/hyperlink" Target="mailto:rosario_perez@tec.mx" TargetMode="External"/><Relationship Id="rId52" Type="http://schemas.openxmlformats.org/officeDocument/2006/relationships/hyperlink" Target="mailto:erika.carrizales@tec.mx" TargetMode="External"/><Relationship Id="rId60" Type="http://schemas.openxmlformats.org/officeDocument/2006/relationships/hyperlink" Target="mailto:erika.carrizales@tec.mx" TargetMode="External"/><Relationship Id="rId65" Type="http://schemas.openxmlformats.org/officeDocument/2006/relationships/hyperlink" Target="mailto:antoniovillanueva_844@tec.mx" TargetMode="External"/><Relationship Id="rId73" Type="http://schemas.openxmlformats.org/officeDocument/2006/relationships/hyperlink" Target="https://tecmx.sharepoint.com/sites/TD-EcosistemaDigtalVPAF/Shared%20Documents/Forms/AllItems.aspx?id=%2Fsites%2FTD-EcosistemaDigtalVPAF%2FShared%20Documents%2FGeneral%2F12.%20Estrategia%20de%20Datos%2FTransformaci&#243;n%2FEcosistema%20Digital%20del%20Futuro%252" TargetMode="External"/><Relationship Id="rId78" Type="http://schemas.openxmlformats.org/officeDocument/2006/relationships/hyperlink" Target="mailto:jdcantu@tec.mx" TargetMode="External"/><Relationship Id="rId81" Type="http://schemas.openxmlformats.org/officeDocument/2006/relationships/hyperlink" Target="mailto:Bernardo.duran@tec.mx" TargetMode="External"/><Relationship Id="rId86" Type="http://schemas.openxmlformats.org/officeDocument/2006/relationships/hyperlink" Target="mailto:alma.ortizh@tec.mx" TargetMode="External"/><Relationship Id="rId94" Type="http://schemas.openxmlformats.org/officeDocument/2006/relationships/drawing" Target="../drawings/drawing3.xml"/><Relationship Id="rId4" Type="http://schemas.openxmlformats.org/officeDocument/2006/relationships/hyperlink" Target="mailto:victor.tena@tec.mx" TargetMode="External"/><Relationship Id="rId9" Type="http://schemas.openxmlformats.org/officeDocument/2006/relationships/hyperlink" Target="https://sso-saml-dev.tec.mx/" TargetMode="External"/><Relationship Id="rId13" Type="http://schemas.openxmlformats.org/officeDocument/2006/relationships/hyperlink" Target="mailto:esgutierrez@tec.mx%20-%3e%20Uman%20Diez" TargetMode="External"/><Relationship Id="rId18" Type="http://schemas.openxmlformats.org/officeDocument/2006/relationships/hyperlink" Target="mailto:angelina.alarcon@tec.mx" TargetMode="External"/><Relationship Id="rId39" Type="http://schemas.openxmlformats.org/officeDocument/2006/relationships/hyperlink" Target="https://tecmx.sharepoint.com/sites/TD-EcosistemaDigtalVPAF/Shared%20Documents/Forms/AllItems.aspx?id=%2Fsites%2FTD-EcosistemaDigtalVPAF%2FShared%20Documents%2FGeneral%2F12.%20Estrategia%20de%20Datos%2FTransformaci&#243;n%2FEcosistema%20Digital%20del%20Futuro%252" TargetMode="External"/><Relationship Id="rId34" Type="http://schemas.openxmlformats.org/officeDocument/2006/relationships/hyperlink" Target="https://tecmx.sharepoint.com/sites/TD-EcosistemaDigtalVPAF/Shared%20Documents/Forms/AllItems.aspx?id=%2Fsites%2FTD-EcosistemaDigtalVPAF%2FShared%20Documents%2FGeneral%2F12.%20Estrategia%20de%20Datos%2FTransformaci&#243;n%2FEcosistema%20Digital%20del%20Futuro%252" TargetMode="External"/><Relationship Id="rId50" Type="http://schemas.openxmlformats.org/officeDocument/2006/relationships/hyperlink" Target="https://www.mpstec.mx/" TargetMode="External"/><Relationship Id="rId55" Type="http://schemas.openxmlformats.org/officeDocument/2006/relationships/hyperlink" Target="mailto:rosario_perez@tec.mx%20(deber&#237;a%20de%20ser%20Silvino%20Mu&#241;oz)" TargetMode="External"/><Relationship Id="rId76" Type="http://schemas.openxmlformats.org/officeDocument/2006/relationships/hyperlink" Target="https://tecmx.sharepoint.com/sites/TD-EcosistemaDigtalVPAF/Shared%20Documents/Forms/AllItems.aspx?id=%2Fsites%2FTD-EcosistemaDigtalVPAF%2FShared%20Documents%2FGeneral%2F12.%20Estrategia%20de%20Datos%2FTransformaci&#243;n%2FEcosistema%20Digital%20del%20Futuro%252" TargetMode="External"/><Relationship Id="rId7" Type="http://schemas.openxmlformats.org/officeDocument/2006/relationships/hyperlink" Target="mailto:victor.tena@tec.mx" TargetMode="External"/><Relationship Id="rId71" Type="http://schemas.openxmlformats.org/officeDocument/2006/relationships/hyperlink" Target="mailto:ctvalenzuela@tec.mx%20-%3e%20se%20pasar&#225;%20a%20Uman%20Diez" TargetMode="External"/><Relationship Id="rId92" Type="http://schemas.openxmlformats.org/officeDocument/2006/relationships/hyperlink" Target="mailto:victor.tena@tec.mx" TargetMode="External"/><Relationship Id="rId2" Type="http://schemas.openxmlformats.org/officeDocument/2006/relationships/hyperlink" Target="mailto:adrian.figueroa@tec.mx" TargetMode="External"/><Relationship Id="rId29" Type="http://schemas.openxmlformats.org/officeDocument/2006/relationships/hyperlink" Target="https://tecmx.sharepoint.com/sites/TD-EcosistemaDigtalVPAF/Shared%20Documents/Forms/AllItems.aspx?id=%2Fsites%2FTD-EcosistemaDigtalVPAF%2FShared%20Documents%2FGeneral%2F12.%20Estrategia%20de%20Datos%2FTransformaci&#243;n%2FEcosistema%20Digital%20del%20Futuro%252" TargetMode="External"/><Relationship Id="rId24" Type="http://schemas.openxmlformats.org/officeDocument/2006/relationships/hyperlink" Target="https://www.tecdap.net/help_dev" TargetMode="External"/><Relationship Id="rId40" Type="http://schemas.openxmlformats.org/officeDocument/2006/relationships/hyperlink" Target="mailto:rosario_perez@tec.mx%20-%3e%20se%20entregar&#225;%20a%20Uman%20Diez" TargetMode="External"/><Relationship Id="rId45" Type="http://schemas.openxmlformats.org/officeDocument/2006/relationships/hyperlink" Target="mailto:rosario_perez@tec.mx%20/%20Gama%20Logistica" TargetMode="External"/><Relationship Id="rId66" Type="http://schemas.openxmlformats.org/officeDocument/2006/relationships/hyperlink" Target="mailto:antoniovillanueva_844@tec.mx" TargetMode="External"/><Relationship Id="rId87" Type="http://schemas.openxmlformats.org/officeDocument/2006/relationships/hyperlink" Target="https://tecmx.sharepoint.com/sites/TD-EcosistemaDigtalVPAF/Shared%20Documents/Forms/AllItems.aspx?id=%2Fsites%2FTD-EcosistemaDigtalVPAF%2FShared%20Documents%2FGeneral%2F12.%20Estrategia%20de%20Datos%2FTransformaci&#243;n%2FEcosistema%20Digital%20del%20Futuro%252" TargetMode="External"/><Relationship Id="rId61" Type="http://schemas.openxmlformats.org/officeDocument/2006/relationships/hyperlink" Target="mailto:antoniovillanueva_844@tec.mx" TargetMode="External"/><Relationship Id="rId82" Type="http://schemas.openxmlformats.org/officeDocument/2006/relationships/hyperlink" Target="https://tecmx.sharepoint.com/sites/TD-EcosistemaDigtalVPAF/Shared%20Documents/Forms/AllItems.aspx?id=%2Fsites%2FTD-EcosistemaDigtalVPAF%2FShared%20Documents%2FGeneral%2F12.%20Estrategia%20de%20Datos%2FTransformaci&#243;n%2FEcosistema%20Digital%20del%20Futuro%252" TargetMode="External"/><Relationship Id="rId19" Type="http://schemas.openxmlformats.org/officeDocument/2006/relationships/hyperlink" Target="mailto:victor.tena@tec.mx" TargetMode="External"/><Relationship Id="rId14" Type="http://schemas.openxmlformats.org/officeDocument/2006/relationships/hyperlink" Target="https://pase.tec.mx/ITESM/Interno/Talento/Forms/01/REVEC_Login" TargetMode="External"/><Relationship Id="rId30" Type="http://schemas.openxmlformats.org/officeDocument/2006/relationships/hyperlink" Target="mailto:diana.gzz@tec.mx" TargetMode="External"/><Relationship Id="rId35" Type="http://schemas.openxmlformats.org/officeDocument/2006/relationships/hyperlink" Target="https://tecmx.sharepoint.com/sites/TD-EcosistemaDigtalVPAF/Shared%20Documents/Forms/AllItems.aspx?id=%2Fsites%2FTD-EcosistemaDigtalVPAF%2FShared%20Documents%2FGeneral%2F12.%20Estrategia%20de%20Datos%2FTransformaci&#243;n%2FEcosistema%20Digital%20del%20Futuro%252" TargetMode="External"/><Relationship Id="rId56" Type="http://schemas.openxmlformats.org/officeDocument/2006/relationships/hyperlink" Target="mailto:caro_martinez@tec.mx%20/%20Octavio%20Acosta" TargetMode="External"/><Relationship Id="rId77" Type="http://schemas.openxmlformats.org/officeDocument/2006/relationships/hyperlink" Target="https://tecmx.sharepoint.com/sites/TD-EcosistemaDigtalVPAF/Shared%20Documents/Forms/AllItems.aspx?id=%2Fsites%2FTD-EcosistemaDigtalVPAF%2FShared%20Documents%2FGeneral%2F12.%20Estrategia%20de%20Datos%2FTransformaci&#243;n%2FEcosistema%20Digital%20del%20Futuro%252" TargetMode="Externa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B3068"/>
    <pageSetUpPr fitToPage="1"/>
  </sheetPr>
  <dimension ref="A1:L41"/>
  <sheetViews>
    <sheetView showGridLines="0" zoomScaleNormal="100" workbookViewId="0">
      <selection activeCell="E16" sqref="E16"/>
    </sheetView>
  </sheetViews>
  <sheetFormatPr defaultColWidth="8.69140625" defaultRowHeight="14.6" x14ac:dyDescent="0.4"/>
  <cols>
    <col min="1" max="2" width="4" style="164" customWidth="1"/>
    <col min="3" max="12" width="14" style="164" customWidth="1"/>
  </cols>
  <sheetData>
    <row r="1" spans="2:12" ht="18" customHeight="1" x14ac:dyDescent="0.4"/>
    <row r="2" spans="2:12" ht="18" customHeight="1" x14ac:dyDescent="0.4"/>
    <row r="3" spans="2:12" ht="18" customHeight="1" x14ac:dyDescent="0.4"/>
    <row r="4" spans="2:12" ht="18" customHeight="1" x14ac:dyDescent="0.4"/>
    <row r="5" spans="2:12" ht="18" customHeight="1" x14ac:dyDescent="0.4"/>
    <row r="6" spans="2:12" ht="18" customHeight="1" x14ac:dyDescent="0.4"/>
    <row r="7" spans="2:12" ht="18" customHeight="1" x14ac:dyDescent="0.4"/>
    <row r="8" spans="2:12" ht="18" customHeight="1" x14ac:dyDescent="0.4"/>
    <row r="10" spans="2:12" ht="36" customHeight="1" x14ac:dyDescent="0.4">
      <c r="B10" s="1" t="s">
        <v>0</v>
      </c>
      <c r="C10" s="171"/>
      <c r="D10" s="171"/>
      <c r="E10" s="171"/>
      <c r="F10" s="171"/>
      <c r="G10" s="171"/>
      <c r="H10" s="171"/>
      <c r="I10" s="171"/>
      <c r="J10" s="171"/>
      <c r="K10" s="171"/>
      <c r="L10" s="171"/>
    </row>
    <row r="11" spans="2:12" ht="13.5" customHeight="1" x14ac:dyDescent="0.4"/>
    <row r="12" spans="2:12" ht="19.5" customHeight="1" x14ac:dyDescent="0.4">
      <c r="B12" s="172" t="s">
        <v>1</v>
      </c>
      <c r="C12" s="171"/>
      <c r="D12" s="171"/>
      <c r="E12" s="171"/>
      <c r="F12" s="171"/>
      <c r="G12" s="171"/>
      <c r="H12" s="171"/>
      <c r="I12" s="171"/>
      <c r="J12" s="171"/>
      <c r="K12" s="171"/>
      <c r="L12" s="171"/>
    </row>
    <row r="13" spans="2:12" ht="25.5" customHeight="1" x14ac:dyDescent="0.4">
      <c r="B13" s="173" t="s">
        <v>2</v>
      </c>
      <c r="C13" s="171"/>
      <c r="D13" s="171"/>
      <c r="E13" s="171"/>
      <c r="F13" s="171"/>
      <c r="G13" s="171"/>
      <c r="H13" s="171"/>
      <c r="I13" s="171"/>
      <c r="J13" s="171"/>
      <c r="K13" s="171"/>
      <c r="L13" s="171"/>
    </row>
    <row r="14" spans="2:12" ht="18" customHeight="1" x14ac:dyDescent="0.4"/>
    <row r="15" spans="2:12" ht="18" customHeight="1" x14ac:dyDescent="0.4"/>
    <row r="16" spans="2:12" ht="18" customHeight="1" x14ac:dyDescent="0.4"/>
    <row r="17" ht="18" customHeight="1" x14ac:dyDescent="0.4"/>
    <row r="18" ht="18" customHeight="1" x14ac:dyDescent="0.4"/>
    <row r="19" ht="18" customHeight="1" x14ac:dyDescent="0.4"/>
    <row r="20" ht="18" customHeight="1" x14ac:dyDescent="0.4"/>
    <row r="21" ht="18" customHeight="1" x14ac:dyDescent="0.4"/>
    <row r="22" ht="18" customHeight="1" x14ac:dyDescent="0.4"/>
    <row r="23" ht="18" customHeight="1" x14ac:dyDescent="0.4"/>
    <row r="24" ht="18" customHeight="1" x14ac:dyDescent="0.4"/>
    <row r="25" ht="18" customHeight="1" x14ac:dyDescent="0.4"/>
    <row r="26" ht="15.75" customHeight="1" x14ac:dyDescent="0.4"/>
    <row r="27" ht="15.75" customHeight="1" x14ac:dyDescent="0.4"/>
    <row r="28" ht="15.75" customHeight="1" x14ac:dyDescent="0.4"/>
    <row r="29" ht="15.75" customHeight="1" x14ac:dyDescent="0.4"/>
    <row r="30" ht="15.75" customHeight="1" x14ac:dyDescent="0.4"/>
    <row r="31" ht="15.75" customHeight="1" x14ac:dyDescent="0.4"/>
    <row r="32" ht="15.75" customHeight="1" x14ac:dyDescent="0.4"/>
    <row r="33" ht="15.75" customHeight="1" x14ac:dyDescent="0.4"/>
    <row r="34" ht="15.75" customHeight="1" x14ac:dyDescent="0.4"/>
    <row r="35" ht="15.75" customHeight="1" x14ac:dyDescent="0.4"/>
    <row r="36" ht="15.75" customHeight="1" x14ac:dyDescent="0.4"/>
    <row r="37" ht="15.75" customHeight="1" x14ac:dyDescent="0.4"/>
    <row r="38" ht="15.75" customHeight="1" x14ac:dyDescent="0.4"/>
    <row r="39" ht="15.75" customHeight="1" x14ac:dyDescent="0.4"/>
    <row r="40" ht="15.75" customHeight="1" x14ac:dyDescent="0.4"/>
    <row r="41" ht="15.75" customHeight="1" x14ac:dyDescent="0.4"/>
  </sheetData>
  <mergeCells count="3">
    <mergeCell ref="B10:L10"/>
    <mergeCell ref="B12:L12"/>
    <mergeCell ref="B13:L13"/>
  </mergeCells>
  <printOptions horizontalCentered="1"/>
  <pageMargins left="0.75" right="0.75" top="1" bottom="1" header="0.5" footer="0.5"/>
  <pageSetup paperSize="9" orientation="portrait" horizontalDpi="300" verticalDpi="300"/>
  <headerFooter>
    <oddHeader>&amp;C&amp;"Arial,Bold"&amp;9 &amp;K1b3068Gestión del Portafolio de Aplicaciones — Modelo TIME de Gartner</oddHeader>
    <oddFooter>&amp;C&amp;"Arial,Regular"&amp;8 &amp;K78909cInventario del Portafolio de Aplicaciones (APM)</oddFooter>
  </headerFooter>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67"/>
  <sheetViews>
    <sheetView showGridLines="0" zoomScale="95" zoomScaleNormal="95" workbookViewId="0">
      <selection activeCell="F15" sqref="F15"/>
    </sheetView>
  </sheetViews>
  <sheetFormatPr defaultColWidth="8.69140625" defaultRowHeight="14.6" x14ac:dyDescent="0.4"/>
  <cols>
    <col min="1" max="1" width="3" style="164" customWidth="1"/>
    <col min="2" max="2" width="28" style="164" customWidth="1"/>
    <col min="3" max="3" width="70" style="164" customWidth="1"/>
  </cols>
  <sheetData>
    <row r="1" spans="2:3" ht="45.75" customHeight="1" x14ac:dyDescent="0.4"/>
    <row r="2" spans="2:3" ht="36" customHeight="1" x14ac:dyDescent="0.4">
      <c r="B2" s="174" t="s">
        <v>2</v>
      </c>
      <c r="C2" s="171"/>
    </row>
    <row r="3" spans="2:3" ht="19.5" customHeight="1" x14ac:dyDescent="0.4">
      <c r="B3" s="177" t="s">
        <v>3</v>
      </c>
      <c r="C3" s="171"/>
    </row>
    <row r="4" spans="2:3" ht="7.5" customHeight="1" x14ac:dyDescent="0.4"/>
    <row r="5" spans="2:3" ht="21.75" customHeight="1" x14ac:dyDescent="0.4">
      <c r="B5" s="178" t="s">
        <v>4</v>
      </c>
      <c r="C5" s="171"/>
    </row>
    <row r="6" spans="2:3" ht="18" customHeight="1" x14ac:dyDescent="0.4">
      <c r="B6" s="165" t="s">
        <v>5</v>
      </c>
      <c r="C6" s="2" t="s">
        <v>6</v>
      </c>
    </row>
    <row r="7" spans="2:3" ht="25.5" customHeight="1" x14ac:dyDescent="0.4">
      <c r="B7" s="3" t="s">
        <v>7</v>
      </c>
      <c r="C7" s="2" t="s">
        <v>8</v>
      </c>
    </row>
    <row r="8" spans="2:3" ht="25.5" customHeight="1" x14ac:dyDescent="0.4">
      <c r="B8" s="3" t="s">
        <v>9</v>
      </c>
      <c r="C8" s="2" t="s">
        <v>10</v>
      </c>
    </row>
    <row r="9" spans="2:3" ht="25.5" customHeight="1" x14ac:dyDescent="0.4">
      <c r="B9" s="3" t="s">
        <v>11</v>
      </c>
      <c r="C9" s="2" t="s">
        <v>12</v>
      </c>
    </row>
    <row r="10" spans="2:3" ht="25.5" customHeight="1" x14ac:dyDescent="0.4">
      <c r="B10" s="3" t="s">
        <v>13</v>
      </c>
      <c r="C10" s="2" t="s">
        <v>14</v>
      </c>
    </row>
    <row r="12" spans="2:3" ht="21.75" customHeight="1" x14ac:dyDescent="0.4">
      <c r="B12" s="178" t="s">
        <v>15</v>
      </c>
      <c r="C12" s="171"/>
    </row>
    <row r="13" spans="2:3" ht="25.5" customHeight="1" x14ac:dyDescent="0.4">
      <c r="B13" s="4" t="s">
        <v>16</v>
      </c>
      <c r="C13" s="2" t="s">
        <v>17</v>
      </c>
    </row>
    <row r="14" spans="2:3" ht="25.5" customHeight="1" x14ac:dyDescent="0.4">
      <c r="B14" s="5" t="s">
        <v>18</v>
      </c>
      <c r="C14" s="2" t="s">
        <v>19</v>
      </c>
    </row>
    <row r="15" spans="2:3" ht="25.5" customHeight="1" x14ac:dyDescent="0.4">
      <c r="B15" s="6" t="s">
        <v>20</v>
      </c>
      <c r="C15" s="2" t="s">
        <v>21</v>
      </c>
    </row>
    <row r="16" spans="2:3" ht="25.5" customHeight="1" x14ac:dyDescent="0.4">
      <c r="B16" s="7" t="s">
        <v>22</v>
      </c>
      <c r="C16" s="2" t="s">
        <v>23</v>
      </c>
    </row>
    <row r="17" spans="2:3" ht="7.5" customHeight="1" x14ac:dyDescent="0.4"/>
    <row r="18" spans="2:3" ht="21.75" customHeight="1" x14ac:dyDescent="0.4">
      <c r="B18" s="178" t="s">
        <v>24</v>
      </c>
      <c r="C18" s="171"/>
    </row>
    <row r="19" spans="2:3" ht="18" customHeight="1" x14ac:dyDescent="0.4">
      <c r="B19" s="165" t="s">
        <v>25</v>
      </c>
      <c r="C19" s="2" t="s">
        <v>26</v>
      </c>
    </row>
    <row r="20" spans="2:3" ht="18" customHeight="1" x14ac:dyDescent="0.4">
      <c r="B20" s="165" t="s">
        <v>27</v>
      </c>
      <c r="C20" s="2" t="s">
        <v>28</v>
      </c>
    </row>
    <row r="21" spans="2:3" ht="18" customHeight="1" x14ac:dyDescent="0.4">
      <c r="B21" s="165" t="s">
        <v>29</v>
      </c>
      <c r="C21" s="2" t="s">
        <v>30</v>
      </c>
    </row>
    <row r="22" spans="2:3" ht="18" customHeight="1" x14ac:dyDescent="0.4">
      <c r="B22" s="165" t="s">
        <v>31</v>
      </c>
      <c r="C22" s="2"/>
    </row>
    <row r="23" spans="2:3" ht="18" customHeight="1" x14ac:dyDescent="0.4">
      <c r="B23" s="165" t="s">
        <v>32</v>
      </c>
      <c r="C23" s="2"/>
    </row>
    <row r="24" spans="2:3" ht="18" customHeight="1" x14ac:dyDescent="0.4">
      <c r="B24" s="165" t="s">
        <v>33</v>
      </c>
      <c r="C24" s="2"/>
    </row>
    <row r="25" spans="2:3" ht="7.5" customHeight="1" x14ac:dyDescent="0.4">
      <c r="B25" s="167" t="s">
        <v>34</v>
      </c>
      <c r="C25" s="8" t="s">
        <v>35</v>
      </c>
    </row>
    <row r="26" spans="2:3" ht="21.75" customHeight="1" x14ac:dyDescent="0.4">
      <c r="B26" s="179" t="s">
        <v>36</v>
      </c>
      <c r="C26" s="171"/>
    </row>
    <row r="27" spans="2:3" ht="25.5" customHeight="1" x14ac:dyDescent="0.4"/>
    <row r="28" spans="2:3" ht="18" customHeight="1" x14ac:dyDescent="0.4">
      <c r="B28" s="166" t="s">
        <v>37</v>
      </c>
    </row>
    <row r="29" spans="2:3" ht="18" customHeight="1" x14ac:dyDescent="0.4">
      <c r="B29" s="165" t="s">
        <v>38</v>
      </c>
      <c r="C29" s="2" t="s">
        <v>39</v>
      </c>
    </row>
    <row r="30" spans="2:3" ht="18" customHeight="1" x14ac:dyDescent="0.4">
      <c r="B30" s="165" t="s">
        <v>40</v>
      </c>
      <c r="C30" s="2" t="s">
        <v>41</v>
      </c>
    </row>
    <row r="31" spans="2:3" ht="18" customHeight="1" x14ac:dyDescent="0.4">
      <c r="B31" s="165" t="s">
        <v>42</v>
      </c>
      <c r="C31" s="2" t="s">
        <v>43</v>
      </c>
    </row>
    <row r="32" spans="2:3" ht="7.5" customHeight="1" x14ac:dyDescent="0.4">
      <c r="B32" s="165" t="s">
        <v>44</v>
      </c>
      <c r="C32" s="2" t="s">
        <v>45</v>
      </c>
    </row>
    <row r="33" spans="2:3" ht="21.75" customHeight="1" x14ac:dyDescent="0.4">
      <c r="B33" s="175" t="s">
        <v>46</v>
      </c>
      <c r="C33" s="176"/>
    </row>
    <row r="34" spans="2:3" ht="18" customHeight="1" x14ac:dyDescent="0.4"/>
    <row r="35" spans="2:3" ht="18" customHeight="1" x14ac:dyDescent="0.4">
      <c r="B35" s="166" t="s">
        <v>47</v>
      </c>
    </row>
    <row r="36" spans="2:3" ht="18" customHeight="1" x14ac:dyDescent="0.4">
      <c r="B36" s="165" t="s">
        <v>48</v>
      </c>
      <c r="C36" s="2" t="s">
        <v>49</v>
      </c>
    </row>
    <row r="37" spans="2:3" ht="18" customHeight="1" x14ac:dyDescent="0.4">
      <c r="B37" s="165" t="s">
        <v>50</v>
      </c>
      <c r="C37" s="2" t="s">
        <v>51</v>
      </c>
    </row>
    <row r="38" spans="2:3" ht="18" customHeight="1" x14ac:dyDescent="0.4">
      <c r="B38" s="165" t="s">
        <v>52</v>
      </c>
      <c r="C38" s="2" t="s">
        <v>53</v>
      </c>
    </row>
    <row r="39" spans="2:3" ht="7.5" customHeight="1" x14ac:dyDescent="0.4">
      <c r="B39" s="165" t="s">
        <v>54</v>
      </c>
      <c r="C39" s="2" t="s">
        <v>55</v>
      </c>
    </row>
    <row r="40" spans="2:3" ht="21.75" customHeight="1" x14ac:dyDescent="0.4">
      <c r="B40" s="175" t="s">
        <v>56</v>
      </c>
      <c r="C40" s="176"/>
    </row>
    <row r="41" spans="2:3" ht="18" customHeight="1" x14ac:dyDescent="0.4"/>
    <row r="42" spans="2:3" ht="18" customHeight="1" x14ac:dyDescent="0.4">
      <c r="B42" s="166" t="s">
        <v>57</v>
      </c>
    </row>
    <row r="43" spans="2:3" ht="18" customHeight="1" x14ac:dyDescent="0.4">
      <c r="B43" s="165" t="s">
        <v>58</v>
      </c>
      <c r="C43" s="2" t="s">
        <v>59</v>
      </c>
    </row>
    <row r="44" spans="2:3" ht="18" customHeight="1" x14ac:dyDescent="0.4">
      <c r="B44" s="165" t="s">
        <v>60</v>
      </c>
      <c r="C44" s="2" t="s">
        <v>61</v>
      </c>
    </row>
    <row r="45" spans="2:3" ht="25.5" customHeight="1" x14ac:dyDescent="0.4">
      <c r="B45" s="165" t="s">
        <v>62</v>
      </c>
      <c r="C45" s="2" t="s">
        <v>63</v>
      </c>
    </row>
    <row r="46" spans="2:3" ht="24.75" customHeight="1" x14ac:dyDescent="0.4">
      <c r="B46" s="165" t="s">
        <v>64</v>
      </c>
      <c r="C46" s="2" t="s">
        <v>65</v>
      </c>
    </row>
    <row r="47" spans="2:3" ht="14.25" customHeight="1" x14ac:dyDescent="0.4">
      <c r="B47" s="171"/>
      <c r="C47" s="171"/>
    </row>
    <row r="49" spans="2:3" ht="14.25" customHeight="1" x14ac:dyDescent="0.4">
      <c r="B49" s="166" t="s">
        <v>66</v>
      </c>
    </row>
    <row r="50" spans="2:3" ht="14.25" customHeight="1" x14ac:dyDescent="0.4">
      <c r="B50" t="s">
        <v>67</v>
      </c>
    </row>
    <row r="51" spans="2:3" ht="14.25" customHeight="1" x14ac:dyDescent="0.4">
      <c r="B51" t="s">
        <v>68</v>
      </c>
    </row>
    <row r="52" spans="2:3" ht="14.25" customHeight="1" x14ac:dyDescent="0.4">
      <c r="B52" t="s">
        <v>69</v>
      </c>
    </row>
    <row r="53" spans="2:3" ht="14.25" customHeight="1" x14ac:dyDescent="0.4">
      <c r="B53" t="s">
        <v>70</v>
      </c>
    </row>
    <row r="54" spans="2:3" ht="14.25" customHeight="1" x14ac:dyDescent="0.4">
      <c r="B54" t="s">
        <v>71</v>
      </c>
    </row>
    <row r="56" spans="2:3" ht="14.25" customHeight="1" x14ac:dyDescent="0.4">
      <c r="B56" s="9" t="s">
        <v>72</v>
      </c>
    </row>
    <row r="57" spans="2:3" ht="36.75" customHeight="1" x14ac:dyDescent="0.4">
      <c r="B57" s="167" t="s">
        <v>73</v>
      </c>
      <c r="C57" s="10" t="s">
        <v>74</v>
      </c>
    </row>
    <row r="58" spans="2:3" ht="36.75" customHeight="1" x14ac:dyDescent="0.4">
      <c r="B58" s="167" t="s">
        <v>75</v>
      </c>
      <c r="C58" s="10" t="s">
        <v>76</v>
      </c>
    </row>
    <row r="59" spans="2:3" ht="36.75" customHeight="1" x14ac:dyDescent="0.4">
      <c r="B59" s="11" t="s">
        <v>77</v>
      </c>
      <c r="C59" s="10" t="s">
        <v>78</v>
      </c>
    </row>
    <row r="60" spans="2:3" ht="24.75" customHeight="1" x14ac:dyDescent="0.4">
      <c r="B60" s="167" t="s">
        <v>79</v>
      </c>
      <c r="C60" s="10" t="s">
        <v>80</v>
      </c>
    </row>
    <row r="61" spans="2:3" ht="45.75" customHeight="1" x14ac:dyDescent="0.4">
      <c r="B61" s="167" t="s">
        <v>81</v>
      </c>
      <c r="C61" s="10" t="s">
        <v>82</v>
      </c>
    </row>
    <row r="62" spans="2:3" ht="14.25" customHeight="1" x14ac:dyDescent="0.4">
      <c r="B62" s="12" t="s">
        <v>83</v>
      </c>
      <c r="C62" s="13" t="s">
        <v>84</v>
      </c>
    </row>
    <row r="64" spans="2:3" ht="14.25" customHeight="1" x14ac:dyDescent="0.4">
      <c r="B64" s="9" t="s">
        <v>85</v>
      </c>
    </row>
    <row r="65" spans="2:3" ht="124.5" customHeight="1" x14ac:dyDescent="0.4">
      <c r="B65" s="167" t="s">
        <v>86</v>
      </c>
      <c r="C65" s="10" t="s">
        <v>87</v>
      </c>
    </row>
    <row r="66" spans="2:3" ht="79.5" customHeight="1" x14ac:dyDescent="0.4">
      <c r="B66" s="167" t="s">
        <v>88</v>
      </c>
      <c r="C66" s="10" t="s">
        <v>89</v>
      </c>
    </row>
    <row r="67" spans="2:3" ht="14.25" customHeight="1" x14ac:dyDescent="0.4">
      <c r="B67" s="167" t="s">
        <v>90</v>
      </c>
      <c r="C67" s="10" t="s">
        <v>91</v>
      </c>
    </row>
  </sheetData>
  <mergeCells count="9">
    <mergeCell ref="B47:C47"/>
    <mergeCell ref="B2:C2"/>
    <mergeCell ref="B40:C40"/>
    <mergeCell ref="B33:C33"/>
    <mergeCell ref="B3:C3"/>
    <mergeCell ref="B5:C5"/>
    <mergeCell ref="B26:C26"/>
    <mergeCell ref="B18:C18"/>
    <mergeCell ref="B12:C12"/>
  </mergeCells>
  <hyperlinks>
    <hyperlink ref="B59" r:id="rId1" xr:uid="{00000000-0004-0000-0100-000000000000}"/>
    <hyperlink ref="B62" r:id="rId2" xr:uid="{00000000-0004-0000-0100-000001000000}"/>
    <hyperlink ref="C62" r:id="rId3" xr:uid="{00000000-0004-0000-0100-000002000000}"/>
  </hyperlinks>
  <pageMargins left="0.75" right="0.75" top="1" bottom="1" header="0.51180555555555596" footer="0.51180555555555596"/>
  <pageSetup paperSize="9" orientation="portrait" horizontalDpi="300" verticalDpi="300"/>
  <headerFooter>
    <oddHeader>&amp;C&amp;"Arial,Bold"&amp;9 &amp;K1b3068Gestión del Portafolio de Aplicaciones — Modelo TIME de Gartner</oddHeader>
    <oddFooter>&amp;C&amp;"Arial,Regular"&amp;8 &amp;K78909cInventario del Portafolio de Aplicaciones (APM)</oddFooter>
  </headerFooter>
  <drawing r:id="rId4"/>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1B3068"/>
  </sheetPr>
  <dimension ref="A1:AS95"/>
  <sheetViews>
    <sheetView showGridLines="0" tabSelected="1" zoomScaleNormal="100" workbookViewId="0">
      <pane ySplit="3" topLeftCell="A53" activePane="bottomLeft" state="frozen"/>
      <selection activeCell="C7" sqref="C7"/>
      <selection pane="bottomLeft" activeCell="C73" sqref="C73"/>
    </sheetView>
  </sheetViews>
  <sheetFormatPr defaultColWidth="18" defaultRowHeight="14.6" x14ac:dyDescent="0.4"/>
  <cols>
    <col min="1" max="1" width="6" style="160" customWidth="1"/>
    <col min="2" max="2" width="15.69140625" style="160" customWidth="1"/>
    <col min="3" max="3" width="19.84375" style="160" customWidth="1"/>
    <col min="4" max="4" width="13.53515625" style="160" customWidth="1"/>
    <col min="5" max="5" width="20" style="160" customWidth="1"/>
    <col min="6" max="6" width="26" style="160" customWidth="1"/>
    <col min="7" max="7" width="38" style="160" customWidth="1"/>
    <col min="8" max="8" width="28" style="160" hidden="1" customWidth="1"/>
    <col min="9" max="10" width="26" style="160" hidden="1" customWidth="1"/>
    <col min="11" max="11" width="27.07421875" style="160" customWidth="1"/>
    <col min="12" max="12" width="31.07421875" style="160" customWidth="1"/>
    <col min="13" max="15" width="26" style="160" customWidth="1"/>
    <col min="16" max="16" width="22" style="160" customWidth="1"/>
    <col min="17" max="17" width="18" style="160" customWidth="1"/>
    <col min="18" max="18" width="16" style="160" customWidth="1"/>
    <col min="19" max="19" width="26" style="160" customWidth="1"/>
    <col min="20" max="22" width="28" style="160" customWidth="1"/>
    <col min="23" max="23" width="12" style="160" customWidth="1"/>
    <col min="24" max="24" width="16" style="160" customWidth="1"/>
    <col min="25" max="25" width="14" style="160" customWidth="1"/>
    <col min="26" max="26" width="50" style="160" customWidth="1"/>
    <col min="27" max="27" width="15" style="160" customWidth="1"/>
    <col min="28" max="28" width="16" style="160" customWidth="1"/>
    <col min="29" max="30" width="15" style="160" customWidth="1"/>
    <col min="31" max="31" width="16" style="160" customWidth="1"/>
    <col min="32" max="33" width="12" style="160" customWidth="1"/>
    <col min="34" max="34" width="20.4609375" style="160" customWidth="1"/>
    <col min="35" max="35" width="15" style="160" customWidth="1"/>
    <col min="36" max="38" width="14" style="160" customWidth="1"/>
    <col min="39" max="39" width="20" style="160" customWidth="1"/>
    <col min="40" max="40" width="22" style="160" customWidth="1"/>
    <col min="41" max="41" width="89" style="160" customWidth="1"/>
    <col min="42" max="42" width="16" style="160" customWidth="1"/>
    <col min="43" max="43" width="14" style="160" customWidth="1"/>
    <col min="44" max="44" width="48" style="160" customWidth="1"/>
    <col min="45" max="47" width="18" style="160" customWidth="1"/>
    <col min="48" max="16384" width="18" style="160"/>
  </cols>
  <sheetData>
    <row r="1" spans="1:45" x14ac:dyDescent="0.4">
      <c r="A1" s="14"/>
      <c r="B1" s="14"/>
      <c r="C1" s="14"/>
      <c r="D1" s="14"/>
      <c r="E1" s="14"/>
      <c r="F1" s="14"/>
      <c r="G1" s="14"/>
      <c r="H1" s="14"/>
      <c r="I1" s="14"/>
      <c r="J1" s="14"/>
      <c r="K1" s="14"/>
      <c r="L1" s="14"/>
      <c r="M1" s="14"/>
      <c r="N1" s="14"/>
      <c r="O1" s="14"/>
      <c r="P1" s="14"/>
      <c r="Q1" s="14"/>
      <c r="R1" s="14"/>
      <c r="S1" s="14"/>
      <c r="T1" s="14"/>
      <c r="U1" s="14"/>
      <c r="V1" s="14"/>
      <c r="W1" s="14"/>
      <c r="X1" s="14"/>
      <c r="Y1" s="14"/>
      <c r="Z1" s="14"/>
      <c r="AA1" s="14"/>
      <c r="AB1" s="14"/>
      <c r="AC1" s="14"/>
      <c r="AD1" s="14"/>
      <c r="AE1" s="14"/>
      <c r="AF1" s="14"/>
      <c r="AG1" s="14"/>
      <c r="AH1" s="14"/>
      <c r="AI1" s="14"/>
      <c r="AJ1" s="14"/>
      <c r="AK1" s="14"/>
      <c r="AL1" s="14"/>
      <c r="AM1" s="14"/>
      <c r="AN1" s="14"/>
      <c r="AO1" s="14"/>
      <c r="AP1" s="14"/>
      <c r="AQ1" s="14"/>
    </row>
    <row r="2" spans="1:45" x14ac:dyDescent="0.4">
      <c r="A2" s="161" t="s">
        <v>92</v>
      </c>
      <c r="B2" s="161"/>
      <c r="C2" s="161"/>
      <c r="D2" s="161"/>
      <c r="E2" s="161"/>
      <c r="F2" s="182" t="s">
        <v>93</v>
      </c>
      <c r="G2" s="181"/>
      <c r="H2" s="181"/>
      <c r="I2" s="181"/>
      <c r="J2" s="181"/>
      <c r="K2" s="181"/>
      <c r="L2" s="181"/>
      <c r="M2" s="181"/>
      <c r="N2" s="181"/>
      <c r="O2" s="181"/>
      <c r="P2" s="181"/>
      <c r="Q2" s="180" t="s">
        <v>94</v>
      </c>
      <c r="R2" s="181"/>
      <c r="S2" s="181"/>
      <c r="T2" s="181"/>
      <c r="U2" s="181"/>
      <c r="V2" s="181"/>
      <c r="W2" s="181"/>
      <c r="X2" s="180" t="s">
        <v>95</v>
      </c>
      <c r="Y2" s="181"/>
      <c r="Z2" s="181"/>
      <c r="AA2" s="180" t="s">
        <v>96</v>
      </c>
      <c r="AB2" s="181"/>
      <c r="AC2" s="181"/>
      <c r="AD2" s="181"/>
      <c r="AE2" s="180" t="s">
        <v>97</v>
      </c>
      <c r="AF2" s="181"/>
      <c r="AG2" s="181"/>
      <c r="AH2" s="181"/>
      <c r="AI2" s="180" t="s">
        <v>98</v>
      </c>
      <c r="AJ2" s="181"/>
      <c r="AK2" s="181"/>
      <c r="AL2" s="180" t="s">
        <v>99</v>
      </c>
      <c r="AM2" s="181"/>
      <c r="AN2" s="181"/>
      <c r="AO2" s="181"/>
      <c r="AP2" s="180" t="s">
        <v>100</v>
      </c>
      <c r="AQ2" s="181"/>
      <c r="AR2" s="159" t="s">
        <v>101</v>
      </c>
      <c r="AS2" s="159"/>
    </row>
    <row r="3" spans="1:45" ht="36" customHeight="1" x14ac:dyDescent="0.4">
      <c r="A3" s="15" t="s">
        <v>102</v>
      </c>
      <c r="B3" s="15" t="s">
        <v>103</v>
      </c>
      <c r="C3" s="15" t="s">
        <v>104</v>
      </c>
      <c r="D3" s="15" t="s">
        <v>105</v>
      </c>
      <c r="E3" s="15" t="s">
        <v>106</v>
      </c>
      <c r="F3" s="15" t="s">
        <v>107</v>
      </c>
      <c r="G3" s="15" t="s">
        <v>6</v>
      </c>
      <c r="H3" s="15" t="s">
        <v>108</v>
      </c>
      <c r="I3" s="15" t="s">
        <v>109</v>
      </c>
      <c r="J3" s="15" t="s">
        <v>110</v>
      </c>
      <c r="K3" s="15" t="s">
        <v>111</v>
      </c>
      <c r="L3" s="15" t="s">
        <v>112</v>
      </c>
      <c r="M3" s="15" t="s">
        <v>113</v>
      </c>
      <c r="N3" s="15" t="s">
        <v>114</v>
      </c>
      <c r="O3" s="15" t="s">
        <v>115</v>
      </c>
      <c r="P3" s="15" t="s">
        <v>116</v>
      </c>
      <c r="Q3" s="16" t="s">
        <v>117</v>
      </c>
      <c r="R3" s="15" t="s">
        <v>118</v>
      </c>
      <c r="S3" s="16" t="s">
        <v>119</v>
      </c>
      <c r="T3" s="16" t="s">
        <v>120</v>
      </c>
      <c r="U3" s="16" t="s">
        <v>121</v>
      </c>
      <c r="V3" s="16" t="s">
        <v>122</v>
      </c>
      <c r="W3" s="15" t="s">
        <v>123</v>
      </c>
      <c r="X3" s="16" t="s">
        <v>124</v>
      </c>
      <c r="Y3" s="16" t="s">
        <v>125</v>
      </c>
      <c r="Z3" s="16" t="s">
        <v>126</v>
      </c>
      <c r="AA3" s="16" t="s">
        <v>127</v>
      </c>
      <c r="AB3" s="16" t="s">
        <v>128</v>
      </c>
      <c r="AC3" s="16" t="s">
        <v>129</v>
      </c>
      <c r="AD3" s="16" t="s">
        <v>130</v>
      </c>
      <c r="AE3" s="16" t="s">
        <v>131</v>
      </c>
      <c r="AF3" s="15" t="s">
        <v>132</v>
      </c>
      <c r="AG3" s="16" t="s">
        <v>133</v>
      </c>
      <c r="AH3" s="15" t="s">
        <v>134</v>
      </c>
      <c r="AI3" s="16" t="s">
        <v>135</v>
      </c>
      <c r="AJ3" s="16" t="s">
        <v>136</v>
      </c>
      <c r="AK3" s="15" t="s">
        <v>137</v>
      </c>
      <c r="AL3" s="16" t="s">
        <v>138</v>
      </c>
      <c r="AM3" s="16" t="s">
        <v>139</v>
      </c>
      <c r="AN3" s="15" t="s">
        <v>140</v>
      </c>
      <c r="AO3" s="16" t="s">
        <v>141</v>
      </c>
      <c r="AP3" s="17" t="s">
        <v>142</v>
      </c>
      <c r="AQ3" s="17" t="s">
        <v>131</v>
      </c>
      <c r="AR3" s="17" t="s">
        <v>143</v>
      </c>
      <c r="AS3" s="17" t="s">
        <v>144</v>
      </c>
    </row>
    <row r="4" spans="1:45" ht="48" customHeight="1" x14ac:dyDescent="0.35">
      <c r="A4" s="133">
        <v>1</v>
      </c>
      <c r="B4" s="133" t="s">
        <v>145</v>
      </c>
      <c r="C4" s="18"/>
      <c r="D4" s="18"/>
      <c r="E4" s="18" t="s">
        <v>146</v>
      </c>
      <c r="F4" s="128" t="s">
        <v>147</v>
      </c>
      <c r="G4" s="163" t="s">
        <v>148</v>
      </c>
      <c r="H4" s="163" t="s">
        <v>149</v>
      </c>
      <c r="I4" s="163" t="s">
        <v>150</v>
      </c>
      <c r="J4" s="19" t="s">
        <v>151</v>
      </c>
      <c r="K4" s="20" t="s">
        <v>152</v>
      </c>
      <c r="L4" s="21" t="s">
        <v>153</v>
      </c>
      <c r="M4" s="21" t="s">
        <v>154</v>
      </c>
      <c r="N4" s="19" t="s">
        <v>155</v>
      </c>
      <c r="O4" s="19" t="s">
        <v>155</v>
      </c>
      <c r="P4" s="163" t="s">
        <v>156</v>
      </c>
      <c r="Q4" s="163" t="s">
        <v>157</v>
      </c>
      <c r="R4" s="163" t="s">
        <v>158</v>
      </c>
      <c r="S4" s="22" t="s">
        <v>159</v>
      </c>
      <c r="T4" s="19" t="s">
        <v>160</v>
      </c>
      <c r="U4" s="19" t="s">
        <v>160</v>
      </c>
      <c r="V4" s="19" t="s">
        <v>160</v>
      </c>
      <c r="W4" s="19" t="s">
        <v>160</v>
      </c>
      <c r="X4" s="23" t="s">
        <v>160</v>
      </c>
      <c r="Y4" s="23" t="s">
        <v>160</v>
      </c>
      <c r="Z4" s="24" t="s">
        <v>161</v>
      </c>
      <c r="AA4" s="25">
        <v>0</v>
      </c>
      <c r="AB4" s="25">
        <v>0</v>
      </c>
      <c r="AC4" s="25">
        <v>0</v>
      </c>
      <c r="AD4" s="26">
        <v>0</v>
      </c>
      <c r="AE4" s="163" t="s">
        <v>162</v>
      </c>
      <c r="AF4" s="27">
        <v>4</v>
      </c>
      <c r="AG4" s="27">
        <v>1</v>
      </c>
      <c r="AH4" s="28" t="str">
        <f t="shared" ref="AH4:AH27" si="0">IF(AND(AF4&gt;=3,AG4&gt;=3),"Invest",IF(AND(AF4&gt;=3,AG4&lt;3),"Migrate",IF(AND(AF4&lt;3,AG4&gt;=3),"Tolerate","Eliminate")))</f>
        <v>Migrate</v>
      </c>
      <c r="AI4" s="29">
        <v>46227</v>
      </c>
      <c r="AJ4" s="29">
        <v>46592</v>
      </c>
      <c r="AK4" s="163" t="s">
        <v>163</v>
      </c>
      <c r="AL4" s="27">
        <v>0</v>
      </c>
      <c r="AM4" s="163" t="s">
        <v>164</v>
      </c>
      <c r="AN4" s="163" t="s">
        <v>165</v>
      </c>
      <c r="AO4" s="163" t="s">
        <v>166</v>
      </c>
      <c r="AP4" s="30" t="s">
        <v>167</v>
      </c>
      <c r="AQ4" s="31">
        <v>5</v>
      </c>
      <c r="AR4" s="32" t="s">
        <v>168</v>
      </c>
      <c r="AS4" s="160" t="s">
        <v>169</v>
      </c>
    </row>
    <row r="5" spans="1:45" ht="36" customHeight="1" x14ac:dyDescent="0.4">
      <c r="A5" s="133">
        <v>2</v>
      </c>
      <c r="B5" s="133" t="s">
        <v>145</v>
      </c>
      <c r="C5" s="18"/>
      <c r="D5" s="18"/>
      <c r="E5" s="18" t="s">
        <v>170</v>
      </c>
      <c r="F5" s="140" t="s">
        <v>171</v>
      </c>
      <c r="G5" s="163" t="s">
        <v>172</v>
      </c>
      <c r="H5" s="19" t="s">
        <v>160</v>
      </c>
      <c r="I5" s="19" t="s">
        <v>160</v>
      </c>
      <c r="J5" s="19" t="s">
        <v>151</v>
      </c>
      <c r="K5" s="20" t="s">
        <v>173</v>
      </c>
      <c r="L5" s="129" t="s">
        <v>174</v>
      </c>
      <c r="M5" s="129" t="s">
        <v>174</v>
      </c>
      <c r="N5" s="129" t="s">
        <v>174</v>
      </c>
      <c r="O5" s="129" t="s">
        <v>174</v>
      </c>
      <c r="P5" s="163" t="s">
        <v>175</v>
      </c>
      <c r="Q5" s="163" t="s">
        <v>157</v>
      </c>
      <c r="R5" s="163" t="s">
        <v>176</v>
      </c>
      <c r="S5" s="163" t="s">
        <v>177</v>
      </c>
      <c r="T5" s="21" t="s">
        <v>178</v>
      </c>
      <c r="U5" s="21" t="s">
        <v>179</v>
      </c>
      <c r="V5" s="21" t="s">
        <v>180</v>
      </c>
      <c r="W5" s="19" t="s">
        <v>160</v>
      </c>
      <c r="X5" s="23" t="s">
        <v>160</v>
      </c>
      <c r="Y5" s="23" t="s">
        <v>160</v>
      </c>
      <c r="Z5" s="24" t="s">
        <v>181</v>
      </c>
      <c r="AA5" s="25">
        <v>0</v>
      </c>
      <c r="AB5" s="25">
        <v>0</v>
      </c>
      <c r="AC5" s="25">
        <v>0</v>
      </c>
      <c r="AD5" s="33">
        <v>0</v>
      </c>
      <c r="AE5" s="163" t="s">
        <v>182</v>
      </c>
      <c r="AF5" s="27">
        <v>4</v>
      </c>
      <c r="AG5" s="27">
        <v>3</v>
      </c>
      <c r="AH5" s="34" t="str">
        <f t="shared" si="0"/>
        <v>Invest</v>
      </c>
      <c r="AI5" s="23" t="s">
        <v>160</v>
      </c>
      <c r="AJ5" s="23" t="s">
        <v>160</v>
      </c>
      <c r="AK5" s="163" t="s">
        <v>183</v>
      </c>
      <c r="AL5" s="35" t="s">
        <v>160</v>
      </c>
      <c r="AM5" s="163" t="s">
        <v>184</v>
      </c>
      <c r="AN5" s="163" t="s">
        <v>185</v>
      </c>
      <c r="AO5" s="163" t="s">
        <v>172</v>
      </c>
      <c r="AP5" s="30" t="s">
        <v>167</v>
      </c>
      <c r="AQ5" s="36">
        <v>2</v>
      </c>
      <c r="AR5" s="37" t="s">
        <v>186</v>
      </c>
      <c r="AS5" s="37" t="s">
        <v>187</v>
      </c>
    </row>
    <row r="6" spans="1:45" ht="190.5" customHeight="1" x14ac:dyDescent="0.4">
      <c r="A6" s="133">
        <v>3</v>
      </c>
      <c r="B6" s="133" t="s">
        <v>145</v>
      </c>
      <c r="C6" s="18"/>
      <c r="D6" s="18"/>
      <c r="E6" s="18" t="s">
        <v>188</v>
      </c>
      <c r="F6" s="18" t="s">
        <v>189</v>
      </c>
      <c r="G6" s="163" t="s">
        <v>190</v>
      </c>
      <c r="H6" s="163" t="s">
        <v>191</v>
      </c>
      <c r="I6" s="163" t="s">
        <v>192</v>
      </c>
      <c r="J6" s="20" t="s">
        <v>193</v>
      </c>
      <c r="K6" s="20" t="s">
        <v>194</v>
      </c>
      <c r="L6" s="21" t="s">
        <v>195</v>
      </c>
      <c r="M6" s="20" t="s">
        <v>196</v>
      </c>
      <c r="N6" s="129" t="s">
        <v>197</v>
      </c>
      <c r="O6" s="129" t="s">
        <v>198</v>
      </c>
      <c r="P6" s="163" t="s">
        <v>199</v>
      </c>
      <c r="Q6" s="163" t="s">
        <v>157</v>
      </c>
      <c r="R6" s="163" t="s">
        <v>200</v>
      </c>
      <c r="S6" s="163" t="s">
        <v>201</v>
      </c>
      <c r="T6" s="21" t="s">
        <v>202</v>
      </c>
      <c r="U6" s="21" t="s">
        <v>203</v>
      </c>
      <c r="V6" s="21" t="s">
        <v>203</v>
      </c>
      <c r="W6" s="163" t="s">
        <v>204</v>
      </c>
      <c r="X6" s="23" t="s">
        <v>160</v>
      </c>
      <c r="Y6" s="23" t="s">
        <v>160</v>
      </c>
      <c r="Z6" s="24" t="s">
        <v>205</v>
      </c>
      <c r="AA6" s="25">
        <v>0</v>
      </c>
      <c r="AB6" s="25">
        <v>0</v>
      </c>
      <c r="AC6" s="25">
        <v>0</v>
      </c>
      <c r="AD6" s="25">
        <v>0</v>
      </c>
      <c r="AE6" s="163" t="s">
        <v>182</v>
      </c>
      <c r="AF6" s="27">
        <v>3</v>
      </c>
      <c r="AG6" s="27">
        <v>2</v>
      </c>
      <c r="AH6" s="28" t="str">
        <f t="shared" si="0"/>
        <v>Migrate</v>
      </c>
      <c r="AI6" s="23">
        <v>46251</v>
      </c>
      <c r="AJ6" s="23" t="s">
        <v>206</v>
      </c>
      <c r="AK6" s="163" t="s">
        <v>163</v>
      </c>
      <c r="AL6" s="14">
        <v>7</v>
      </c>
      <c r="AM6" s="163" t="s">
        <v>164</v>
      </c>
      <c r="AN6" s="163" t="s">
        <v>207</v>
      </c>
      <c r="AO6" s="163" t="s">
        <v>208</v>
      </c>
      <c r="AP6" s="30" t="s">
        <v>167</v>
      </c>
      <c r="AQ6" s="38">
        <v>3</v>
      </c>
      <c r="AR6" s="37" t="s">
        <v>186</v>
      </c>
      <c r="AS6" s="37" t="s">
        <v>187</v>
      </c>
    </row>
    <row r="7" spans="1:45" ht="48" customHeight="1" x14ac:dyDescent="0.4">
      <c r="A7" s="133">
        <v>4</v>
      </c>
      <c r="B7" s="133" t="s">
        <v>145</v>
      </c>
      <c r="C7" s="18"/>
      <c r="D7" s="18"/>
      <c r="E7" s="18" t="s">
        <v>209</v>
      </c>
      <c r="F7" s="18" t="s">
        <v>210</v>
      </c>
      <c r="G7" s="163" t="s">
        <v>211</v>
      </c>
      <c r="H7" s="163" t="s">
        <v>149</v>
      </c>
      <c r="I7" s="163" t="s">
        <v>212</v>
      </c>
      <c r="J7" s="19" t="s">
        <v>151</v>
      </c>
      <c r="K7" s="20" t="s">
        <v>213</v>
      </c>
      <c r="L7" s="21" t="s">
        <v>214</v>
      </c>
      <c r="M7" s="21" t="s">
        <v>214</v>
      </c>
      <c r="N7" s="163" t="s">
        <v>215</v>
      </c>
      <c r="O7" s="163" t="s">
        <v>215</v>
      </c>
      <c r="P7" s="163" t="s">
        <v>216</v>
      </c>
      <c r="Q7" s="163" t="s">
        <v>157</v>
      </c>
      <c r="R7" s="163" t="s">
        <v>217</v>
      </c>
      <c r="S7" s="163" t="s">
        <v>218</v>
      </c>
      <c r="T7" s="163" t="s">
        <v>219</v>
      </c>
      <c r="U7" s="163" t="s">
        <v>203</v>
      </c>
      <c r="V7" s="163" t="s">
        <v>203</v>
      </c>
      <c r="W7" s="19" t="s">
        <v>160</v>
      </c>
      <c r="X7" s="23" t="s">
        <v>160</v>
      </c>
      <c r="Y7" s="23" t="s">
        <v>160</v>
      </c>
      <c r="Z7" s="24" t="s">
        <v>220</v>
      </c>
      <c r="AA7" s="25">
        <v>0</v>
      </c>
      <c r="AB7" s="25">
        <v>0</v>
      </c>
      <c r="AC7" s="25">
        <v>0</v>
      </c>
      <c r="AD7" s="33">
        <v>0</v>
      </c>
      <c r="AE7" s="163" t="s">
        <v>182</v>
      </c>
      <c r="AF7" s="39">
        <v>3</v>
      </c>
      <c r="AG7" s="40">
        <v>4</v>
      </c>
      <c r="AH7" s="34" t="str">
        <f t="shared" si="0"/>
        <v>Invest</v>
      </c>
      <c r="AI7" s="23" t="s">
        <v>160</v>
      </c>
      <c r="AJ7" s="23" t="s">
        <v>160</v>
      </c>
      <c r="AK7" s="163" t="s">
        <v>163</v>
      </c>
      <c r="AL7" s="35" t="s">
        <v>160</v>
      </c>
      <c r="AM7" s="163" t="s">
        <v>164</v>
      </c>
      <c r="AN7" s="163" t="s">
        <v>185</v>
      </c>
      <c r="AO7" s="163" t="s">
        <v>211</v>
      </c>
      <c r="AP7" s="30" t="s">
        <v>167</v>
      </c>
      <c r="AQ7" s="38">
        <v>3</v>
      </c>
      <c r="AR7" s="37" t="s">
        <v>186</v>
      </c>
      <c r="AS7" s="37" t="s">
        <v>187</v>
      </c>
    </row>
    <row r="8" spans="1:45" ht="36" customHeight="1" x14ac:dyDescent="0.4">
      <c r="A8" s="133">
        <v>5</v>
      </c>
      <c r="B8" s="133" t="s">
        <v>145</v>
      </c>
      <c r="C8" s="18"/>
      <c r="D8" s="18"/>
      <c r="E8" s="18" t="s">
        <v>221</v>
      </c>
      <c r="F8" s="18" t="s">
        <v>222</v>
      </c>
      <c r="G8" s="163" t="s">
        <v>223</v>
      </c>
      <c r="H8" s="163" t="s">
        <v>149</v>
      </c>
      <c r="I8" s="163" t="s">
        <v>224</v>
      </c>
      <c r="J8" s="19" t="s">
        <v>225</v>
      </c>
      <c r="K8" s="20" t="s">
        <v>226</v>
      </c>
      <c r="L8" s="21" t="s">
        <v>174</v>
      </c>
      <c r="M8" s="21" t="s">
        <v>174</v>
      </c>
      <c r="N8" s="21" t="s">
        <v>174</v>
      </c>
      <c r="O8" s="21" t="s">
        <v>174</v>
      </c>
      <c r="P8" s="41" t="s">
        <v>227</v>
      </c>
      <c r="Q8" s="163" t="s">
        <v>157</v>
      </c>
      <c r="R8" s="163" t="s">
        <v>228</v>
      </c>
      <c r="S8" s="163" t="s">
        <v>229</v>
      </c>
      <c r="T8" s="21" t="s">
        <v>230</v>
      </c>
      <c r="U8" s="21" t="s">
        <v>231</v>
      </c>
      <c r="V8" s="19" t="s">
        <v>160</v>
      </c>
      <c r="W8" s="19" t="s">
        <v>160</v>
      </c>
      <c r="X8" s="23" t="s">
        <v>160</v>
      </c>
      <c r="Y8" s="23" t="s">
        <v>160</v>
      </c>
      <c r="Z8" s="24" t="s">
        <v>232</v>
      </c>
      <c r="AA8" s="25">
        <v>0</v>
      </c>
      <c r="AB8" s="25">
        <v>0</v>
      </c>
      <c r="AC8" s="25">
        <v>0</v>
      </c>
      <c r="AD8" s="26">
        <v>0</v>
      </c>
      <c r="AE8" s="163" t="s">
        <v>182</v>
      </c>
      <c r="AF8" s="39">
        <v>3</v>
      </c>
      <c r="AG8" s="27"/>
      <c r="AH8" s="28" t="str">
        <f t="shared" si="0"/>
        <v>Migrate</v>
      </c>
      <c r="AI8" s="23" t="s">
        <v>160</v>
      </c>
      <c r="AJ8" s="23" t="s">
        <v>160</v>
      </c>
      <c r="AK8" s="163" t="s">
        <v>163</v>
      </c>
      <c r="AL8" s="35" t="s">
        <v>160</v>
      </c>
      <c r="AM8" s="163" t="s">
        <v>164</v>
      </c>
      <c r="AN8" s="19" t="s">
        <v>160</v>
      </c>
      <c r="AO8" s="163" t="s">
        <v>223</v>
      </c>
      <c r="AP8" s="30" t="s">
        <v>167</v>
      </c>
      <c r="AQ8" s="38">
        <v>3</v>
      </c>
      <c r="AR8" s="37" t="s">
        <v>186</v>
      </c>
      <c r="AS8" s="37" t="s">
        <v>187</v>
      </c>
    </row>
    <row r="9" spans="1:45" ht="24" customHeight="1" x14ac:dyDescent="0.4">
      <c r="A9" s="133">
        <v>6</v>
      </c>
      <c r="B9" s="133" t="s">
        <v>145</v>
      </c>
      <c r="C9" s="18"/>
      <c r="D9" s="18"/>
      <c r="E9" s="18" t="s">
        <v>233</v>
      </c>
      <c r="F9" s="18" t="s">
        <v>234</v>
      </c>
      <c r="G9" s="163" t="s">
        <v>235</v>
      </c>
      <c r="H9" s="19" t="s">
        <v>160</v>
      </c>
      <c r="I9" s="19" t="s">
        <v>160</v>
      </c>
      <c r="J9" s="163" t="s">
        <v>236</v>
      </c>
      <c r="K9" s="135" t="s">
        <v>237</v>
      </c>
      <c r="L9" s="21" t="s">
        <v>238</v>
      </c>
      <c r="M9" s="134" t="s">
        <v>239</v>
      </c>
      <c r="N9" s="134" t="s">
        <v>240</v>
      </c>
      <c r="O9" s="134" t="s">
        <v>241</v>
      </c>
      <c r="P9" s="163" t="s">
        <v>242</v>
      </c>
      <c r="Q9" s="163" t="s">
        <v>243</v>
      </c>
      <c r="R9" s="163" t="s">
        <v>228</v>
      </c>
      <c r="S9" s="163" t="s">
        <v>244</v>
      </c>
      <c r="T9" s="19" t="s">
        <v>160</v>
      </c>
      <c r="U9" s="19" t="s">
        <v>160</v>
      </c>
      <c r="V9" s="19" t="s">
        <v>160</v>
      </c>
      <c r="W9" s="19" t="s">
        <v>160</v>
      </c>
      <c r="X9" s="23" t="s">
        <v>160</v>
      </c>
      <c r="Y9" s="23" t="s">
        <v>160</v>
      </c>
      <c r="Z9" s="24" t="s">
        <v>245</v>
      </c>
      <c r="AA9" s="25">
        <v>0</v>
      </c>
      <c r="AB9" s="25">
        <v>0</v>
      </c>
      <c r="AC9" s="25">
        <v>0</v>
      </c>
      <c r="AD9" s="33">
        <v>0</v>
      </c>
      <c r="AE9" s="163" t="s">
        <v>182</v>
      </c>
      <c r="AF9" s="39">
        <v>3</v>
      </c>
      <c r="AG9" s="40">
        <v>2</v>
      </c>
      <c r="AH9" s="34" t="str">
        <f t="shared" si="0"/>
        <v>Migrate</v>
      </c>
      <c r="AI9" s="23" t="s">
        <v>160</v>
      </c>
      <c r="AJ9" s="23" t="s">
        <v>160</v>
      </c>
      <c r="AK9" s="163" t="s">
        <v>163</v>
      </c>
      <c r="AL9" s="35" t="s">
        <v>160</v>
      </c>
      <c r="AM9" s="163" t="s">
        <v>184</v>
      </c>
      <c r="AN9" s="19" t="s">
        <v>160</v>
      </c>
      <c r="AO9" s="163" t="s">
        <v>235</v>
      </c>
      <c r="AP9" s="30" t="s">
        <v>167</v>
      </c>
      <c r="AQ9" s="38">
        <v>3</v>
      </c>
      <c r="AR9" s="32" t="s">
        <v>246</v>
      </c>
      <c r="AS9" s="42" t="s">
        <v>247</v>
      </c>
    </row>
    <row r="10" spans="1:45" ht="36" customHeight="1" x14ac:dyDescent="0.4">
      <c r="A10" s="133">
        <v>7</v>
      </c>
      <c r="B10" s="133" t="s">
        <v>145</v>
      </c>
      <c r="C10" s="18"/>
      <c r="D10" s="18"/>
      <c r="E10" s="43" t="s">
        <v>248</v>
      </c>
      <c r="F10" s="136" t="s">
        <v>249</v>
      </c>
      <c r="G10" s="44" t="s">
        <v>250</v>
      </c>
      <c r="H10" s="45" t="s">
        <v>160</v>
      </c>
      <c r="I10" s="45" t="s">
        <v>160</v>
      </c>
      <c r="J10" s="44" t="s">
        <v>251</v>
      </c>
      <c r="K10" s="46" t="s">
        <v>226</v>
      </c>
      <c r="L10" s="46" t="s">
        <v>226</v>
      </c>
      <c r="M10" s="46" t="s">
        <v>226</v>
      </c>
      <c r="N10" s="46" t="s">
        <v>226</v>
      </c>
      <c r="O10" s="46" t="s">
        <v>226</v>
      </c>
      <c r="P10" s="44" t="s">
        <v>252</v>
      </c>
      <c r="Q10" s="44" t="s">
        <v>157</v>
      </c>
      <c r="R10" s="44" t="s">
        <v>217</v>
      </c>
      <c r="S10" s="44" t="s">
        <v>253</v>
      </c>
      <c r="T10" s="45" t="s">
        <v>160</v>
      </c>
      <c r="U10" s="45" t="s">
        <v>160</v>
      </c>
      <c r="V10" s="45" t="s">
        <v>160</v>
      </c>
      <c r="W10" s="45" t="s">
        <v>160</v>
      </c>
      <c r="X10" s="45" t="s">
        <v>160</v>
      </c>
      <c r="Y10" s="45" t="s">
        <v>160</v>
      </c>
      <c r="Z10" s="44" t="s">
        <v>254</v>
      </c>
      <c r="AA10" s="47">
        <v>0</v>
      </c>
      <c r="AB10" s="47">
        <v>0</v>
      </c>
      <c r="AC10" s="47">
        <v>0</v>
      </c>
      <c r="AD10" s="48">
        <v>0</v>
      </c>
      <c r="AE10" s="163" t="s">
        <v>255</v>
      </c>
      <c r="AF10" s="27">
        <v>1</v>
      </c>
      <c r="AG10" s="27">
        <v>2</v>
      </c>
      <c r="AH10" s="34" t="str">
        <f t="shared" si="0"/>
        <v>Eliminate</v>
      </c>
      <c r="AI10" s="45" t="s">
        <v>160</v>
      </c>
      <c r="AJ10" s="45" t="s">
        <v>160</v>
      </c>
      <c r="AK10" s="163" t="s">
        <v>163</v>
      </c>
      <c r="AL10" s="45" t="s">
        <v>160</v>
      </c>
      <c r="AM10" s="45" t="s">
        <v>160</v>
      </c>
      <c r="AN10" s="163" t="s">
        <v>185</v>
      </c>
      <c r="AO10" s="19" t="s">
        <v>256</v>
      </c>
      <c r="AP10" s="30" t="s">
        <v>167</v>
      </c>
      <c r="AQ10" s="36">
        <v>2</v>
      </c>
      <c r="AR10" s="37" t="s">
        <v>186</v>
      </c>
      <c r="AS10" s="37" t="s">
        <v>187</v>
      </c>
    </row>
    <row r="11" spans="1:45" ht="24" customHeight="1" x14ac:dyDescent="0.4">
      <c r="A11" s="133">
        <v>8</v>
      </c>
      <c r="B11" s="133" t="s">
        <v>145</v>
      </c>
      <c r="C11" s="18"/>
      <c r="D11" s="18"/>
      <c r="E11" s="19" t="s">
        <v>160</v>
      </c>
      <c r="F11" s="18" t="s">
        <v>257</v>
      </c>
      <c r="G11" s="163" t="s">
        <v>258</v>
      </c>
      <c r="H11" s="19" t="s">
        <v>160</v>
      </c>
      <c r="I11" s="19" t="s">
        <v>160</v>
      </c>
      <c r="J11" s="19" t="s">
        <v>160</v>
      </c>
      <c r="K11" s="20" t="s">
        <v>259</v>
      </c>
      <c r="L11" s="20" t="s">
        <v>259</v>
      </c>
      <c r="M11" s="20" t="s">
        <v>259</v>
      </c>
      <c r="N11" s="20" t="s">
        <v>259</v>
      </c>
      <c r="O11" s="20" t="s">
        <v>259</v>
      </c>
      <c r="P11" s="163" t="s">
        <v>260</v>
      </c>
      <c r="Q11" s="163" t="s">
        <v>157</v>
      </c>
      <c r="R11" s="163" t="s">
        <v>176</v>
      </c>
      <c r="S11" s="163" t="s">
        <v>261</v>
      </c>
      <c r="T11" s="19" t="s">
        <v>160</v>
      </c>
      <c r="U11" s="19" t="s">
        <v>160</v>
      </c>
      <c r="V11" s="19" t="s">
        <v>160</v>
      </c>
      <c r="W11" s="19" t="s">
        <v>160</v>
      </c>
      <c r="X11" s="23" t="s">
        <v>160</v>
      </c>
      <c r="Y11" s="23" t="s">
        <v>160</v>
      </c>
      <c r="Z11" s="24" t="s">
        <v>262</v>
      </c>
      <c r="AA11" s="25">
        <v>0</v>
      </c>
      <c r="AB11" s="25">
        <v>0</v>
      </c>
      <c r="AC11" s="25">
        <v>0</v>
      </c>
      <c r="AD11" s="33">
        <v>0</v>
      </c>
      <c r="AE11" s="163" t="s">
        <v>255</v>
      </c>
      <c r="AF11" s="39">
        <v>2</v>
      </c>
      <c r="AG11" s="27"/>
      <c r="AH11" s="34" t="str">
        <f t="shared" si="0"/>
        <v>Eliminate</v>
      </c>
      <c r="AI11" s="23" t="s">
        <v>160</v>
      </c>
      <c r="AJ11" s="23" t="s">
        <v>160</v>
      </c>
      <c r="AK11" s="163" t="s">
        <v>263</v>
      </c>
      <c r="AL11" s="35" t="s">
        <v>160</v>
      </c>
      <c r="AM11" s="163" t="s">
        <v>264</v>
      </c>
      <c r="AN11" s="19" t="s">
        <v>160</v>
      </c>
      <c r="AO11" s="163" t="s">
        <v>258</v>
      </c>
      <c r="AP11" s="30" t="s">
        <v>167</v>
      </c>
      <c r="AQ11" s="36">
        <v>2</v>
      </c>
      <c r="AR11" s="37" t="s">
        <v>186</v>
      </c>
      <c r="AS11" s="37" t="s">
        <v>187</v>
      </c>
    </row>
    <row r="12" spans="1:45" ht="45.75" customHeight="1" x14ac:dyDescent="0.4">
      <c r="A12" s="133">
        <v>9</v>
      </c>
      <c r="B12" s="133" t="s">
        <v>145</v>
      </c>
      <c r="C12" s="18"/>
      <c r="D12" s="18"/>
      <c r="E12" s="19" t="s">
        <v>160</v>
      </c>
      <c r="F12" s="18" t="s">
        <v>265</v>
      </c>
      <c r="G12" s="163" t="s">
        <v>266</v>
      </c>
      <c r="H12" s="19" t="s">
        <v>160</v>
      </c>
      <c r="I12" s="19" t="s">
        <v>160</v>
      </c>
      <c r="J12" s="19" t="s">
        <v>160</v>
      </c>
      <c r="K12" s="20" t="s">
        <v>267</v>
      </c>
      <c r="L12" s="20" t="s">
        <v>267</v>
      </c>
      <c r="M12" s="20" t="s">
        <v>267</v>
      </c>
      <c r="N12" s="20" t="s">
        <v>267</v>
      </c>
      <c r="O12" s="20" t="s">
        <v>267</v>
      </c>
      <c r="P12" s="19" t="s">
        <v>160</v>
      </c>
      <c r="Q12" s="49" t="s">
        <v>157</v>
      </c>
      <c r="R12" s="50" t="s">
        <v>160</v>
      </c>
      <c r="S12" s="163" t="s">
        <v>268</v>
      </c>
      <c r="T12" s="51" t="s">
        <v>160</v>
      </c>
      <c r="U12" s="51" t="s">
        <v>160</v>
      </c>
      <c r="V12" s="51" t="s">
        <v>160</v>
      </c>
      <c r="W12" s="50" t="s">
        <v>160</v>
      </c>
      <c r="X12" s="50" t="s">
        <v>160</v>
      </c>
      <c r="Y12" s="50" t="s">
        <v>160</v>
      </c>
      <c r="Z12" s="14" t="s">
        <v>269</v>
      </c>
      <c r="AA12" s="52">
        <v>0</v>
      </c>
      <c r="AB12" s="52">
        <v>0</v>
      </c>
      <c r="AC12" s="52">
        <v>0</v>
      </c>
      <c r="AD12" s="14">
        <v>0</v>
      </c>
      <c r="AE12" s="53" t="s">
        <v>255</v>
      </c>
      <c r="AF12" s="54">
        <v>2</v>
      </c>
      <c r="AG12" s="55">
        <v>4</v>
      </c>
      <c r="AH12" s="14" t="str">
        <f t="shared" si="0"/>
        <v>Tolerate</v>
      </c>
      <c r="AI12" s="50" t="s">
        <v>160</v>
      </c>
      <c r="AJ12" s="50" t="s">
        <v>160</v>
      </c>
      <c r="AK12" s="163" t="s">
        <v>163</v>
      </c>
      <c r="AL12" s="50" t="s">
        <v>160</v>
      </c>
      <c r="AM12" s="50" t="s">
        <v>160</v>
      </c>
      <c r="AN12" s="50" t="s">
        <v>160</v>
      </c>
      <c r="AO12" s="163" t="s">
        <v>266</v>
      </c>
      <c r="AP12" s="30" t="s">
        <v>167</v>
      </c>
      <c r="AQ12" s="36">
        <v>2</v>
      </c>
      <c r="AR12" s="37" t="s">
        <v>186</v>
      </c>
      <c r="AS12" s="37" t="s">
        <v>187</v>
      </c>
    </row>
    <row r="13" spans="1:45" ht="45.75" customHeight="1" x14ac:dyDescent="0.4">
      <c r="A13" s="133">
        <v>10</v>
      </c>
      <c r="B13" s="133" t="s">
        <v>145</v>
      </c>
      <c r="C13" s="18"/>
      <c r="D13" s="18"/>
      <c r="E13" s="18" t="s">
        <v>270</v>
      </c>
      <c r="F13" s="18" t="s">
        <v>271</v>
      </c>
      <c r="G13" s="163" t="s">
        <v>272</v>
      </c>
      <c r="H13" s="19" t="s">
        <v>160</v>
      </c>
      <c r="I13" s="19" t="s">
        <v>160</v>
      </c>
      <c r="J13" s="19" t="s">
        <v>225</v>
      </c>
      <c r="K13" s="20" t="s">
        <v>273</v>
      </c>
      <c r="L13" s="21" t="s">
        <v>273</v>
      </c>
      <c r="M13" s="129" t="s">
        <v>274</v>
      </c>
      <c r="N13" s="129" t="s">
        <v>274</v>
      </c>
      <c r="O13" s="129" t="s">
        <v>274</v>
      </c>
      <c r="P13" s="163" t="s">
        <v>271</v>
      </c>
      <c r="Q13" s="56" t="s">
        <v>275</v>
      </c>
      <c r="R13" s="57" t="s">
        <v>228</v>
      </c>
      <c r="S13" s="163" t="s">
        <v>276</v>
      </c>
      <c r="T13" s="51" t="s">
        <v>160</v>
      </c>
      <c r="U13" s="51" t="s">
        <v>160</v>
      </c>
      <c r="V13" s="51" t="s">
        <v>160</v>
      </c>
      <c r="W13" s="50" t="s">
        <v>160</v>
      </c>
      <c r="X13" s="50" t="s">
        <v>160</v>
      </c>
      <c r="Y13" s="50" t="s">
        <v>160</v>
      </c>
      <c r="Z13" s="14" t="s">
        <v>277</v>
      </c>
      <c r="AA13" s="52">
        <v>0</v>
      </c>
      <c r="AB13" s="52">
        <v>0</v>
      </c>
      <c r="AC13" s="52">
        <v>0</v>
      </c>
      <c r="AD13" s="14">
        <v>0</v>
      </c>
      <c r="AE13" s="53" t="s">
        <v>278</v>
      </c>
      <c r="AF13" s="54">
        <v>4</v>
      </c>
      <c r="AG13" s="55">
        <v>3</v>
      </c>
      <c r="AH13" s="14" t="str">
        <f t="shared" si="0"/>
        <v>Invest</v>
      </c>
      <c r="AI13" s="50" t="s">
        <v>160</v>
      </c>
      <c r="AJ13" s="50" t="s">
        <v>160</v>
      </c>
      <c r="AK13" s="163" t="s">
        <v>163</v>
      </c>
      <c r="AL13" s="50" t="s">
        <v>160</v>
      </c>
      <c r="AM13" s="50" t="s">
        <v>160</v>
      </c>
      <c r="AN13" s="50" t="s">
        <v>160</v>
      </c>
      <c r="AO13" s="163" t="s">
        <v>272</v>
      </c>
      <c r="AP13" s="30" t="s">
        <v>167</v>
      </c>
      <c r="AQ13" s="58">
        <v>4</v>
      </c>
      <c r="AR13" s="32" t="s">
        <v>279</v>
      </c>
      <c r="AS13" s="42" t="s">
        <v>247</v>
      </c>
    </row>
    <row r="14" spans="1:45" ht="36" customHeight="1" x14ac:dyDescent="0.4">
      <c r="A14" s="133">
        <v>11</v>
      </c>
      <c r="B14" s="133" t="s">
        <v>145</v>
      </c>
      <c r="C14" s="18"/>
      <c r="D14" s="18"/>
      <c r="E14" s="43" t="s">
        <v>280</v>
      </c>
      <c r="F14" s="140" t="s">
        <v>281</v>
      </c>
      <c r="G14" s="44" t="s">
        <v>282</v>
      </c>
      <c r="H14" s="45" t="s">
        <v>160</v>
      </c>
      <c r="I14" s="45" t="s">
        <v>160</v>
      </c>
      <c r="J14" s="45" t="s">
        <v>283</v>
      </c>
      <c r="K14" s="46" t="s">
        <v>284</v>
      </c>
      <c r="L14" s="44" t="s">
        <v>285</v>
      </c>
      <c r="M14" s="44" t="s">
        <v>286</v>
      </c>
      <c r="N14" s="44" t="s">
        <v>287</v>
      </c>
      <c r="O14" s="44" t="s">
        <v>287</v>
      </c>
      <c r="P14" s="44" t="s">
        <v>281</v>
      </c>
      <c r="Q14" s="57" t="s">
        <v>275</v>
      </c>
      <c r="R14" s="57" t="s">
        <v>228</v>
      </c>
      <c r="S14" s="22" t="s">
        <v>288</v>
      </c>
      <c r="T14" s="51" t="s">
        <v>160</v>
      </c>
      <c r="U14" s="51" t="s">
        <v>160</v>
      </c>
      <c r="V14" s="51" t="s">
        <v>160</v>
      </c>
      <c r="W14" s="50" t="s">
        <v>160</v>
      </c>
      <c r="X14" s="50" t="s">
        <v>160</v>
      </c>
      <c r="Y14" s="50" t="s">
        <v>160</v>
      </c>
      <c r="Z14" s="59" t="s">
        <v>289</v>
      </c>
      <c r="AA14" s="60">
        <v>0</v>
      </c>
      <c r="AB14" s="60">
        <v>0</v>
      </c>
      <c r="AC14" s="60">
        <v>0</v>
      </c>
      <c r="AD14" s="59">
        <v>0</v>
      </c>
      <c r="AE14" s="163" t="s">
        <v>162</v>
      </c>
      <c r="AF14" s="54">
        <v>5</v>
      </c>
      <c r="AG14" s="55">
        <v>2</v>
      </c>
      <c r="AH14" s="59" t="str">
        <f t="shared" si="0"/>
        <v>Migrate</v>
      </c>
      <c r="AI14" s="19" t="s">
        <v>160</v>
      </c>
      <c r="AJ14" s="50" t="s">
        <v>160</v>
      </c>
      <c r="AK14" s="163" t="s">
        <v>163</v>
      </c>
      <c r="AL14" s="50" t="s">
        <v>160</v>
      </c>
      <c r="AM14" s="50" t="s">
        <v>160</v>
      </c>
      <c r="AN14" s="50" t="s">
        <v>160</v>
      </c>
      <c r="AO14" s="163" t="s">
        <v>282</v>
      </c>
      <c r="AP14" s="30" t="s">
        <v>167</v>
      </c>
      <c r="AQ14" s="31">
        <v>5</v>
      </c>
      <c r="AR14" s="32" t="s">
        <v>290</v>
      </c>
      <c r="AS14" s="42" t="s">
        <v>247</v>
      </c>
    </row>
    <row r="15" spans="1:45" ht="48" customHeight="1" x14ac:dyDescent="0.4">
      <c r="A15" s="61">
        <v>12</v>
      </c>
      <c r="B15" s="62"/>
      <c r="C15" s="18"/>
      <c r="D15" s="18"/>
      <c r="E15" s="62" t="s">
        <v>291</v>
      </c>
      <c r="F15" s="149" t="s">
        <v>292</v>
      </c>
      <c r="G15" s="63" t="s">
        <v>293</v>
      </c>
      <c r="H15" s="64" t="s">
        <v>294</v>
      </c>
      <c r="I15" s="64" t="s">
        <v>295</v>
      </c>
      <c r="J15" s="65" t="s">
        <v>283</v>
      </c>
      <c r="K15" s="66" t="s">
        <v>296</v>
      </c>
      <c r="L15" s="130" t="s">
        <v>297</v>
      </c>
      <c r="M15" s="63" t="s">
        <v>239</v>
      </c>
      <c r="N15" s="63" t="s">
        <v>298</v>
      </c>
      <c r="O15" s="63" t="s">
        <v>299</v>
      </c>
      <c r="P15" s="63" t="s">
        <v>300</v>
      </c>
      <c r="Q15" s="59" t="s">
        <v>243</v>
      </c>
      <c r="R15" s="59" t="s">
        <v>228</v>
      </c>
      <c r="S15" s="67" t="s">
        <v>301</v>
      </c>
      <c r="T15" s="51" t="s">
        <v>160</v>
      </c>
      <c r="U15" s="51" t="s">
        <v>160</v>
      </c>
      <c r="V15" s="51" t="s">
        <v>160</v>
      </c>
      <c r="W15" s="50" t="s">
        <v>160</v>
      </c>
      <c r="X15" s="50" t="s">
        <v>160</v>
      </c>
      <c r="Y15" s="50" t="s">
        <v>160</v>
      </c>
      <c r="Z15" s="59" t="s">
        <v>302</v>
      </c>
      <c r="AA15" s="60">
        <v>0</v>
      </c>
      <c r="AB15" s="60">
        <v>0</v>
      </c>
      <c r="AC15" s="60">
        <v>0</v>
      </c>
      <c r="AD15" s="59">
        <v>0</v>
      </c>
      <c r="AE15" s="163" t="s">
        <v>162</v>
      </c>
      <c r="AF15" s="54">
        <v>5</v>
      </c>
      <c r="AG15" s="55">
        <v>4</v>
      </c>
      <c r="AH15" s="59" t="str">
        <f t="shared" si="0"/>
        <v>Invest</v>
      </c>
      <c r="AI15" s="68" t="s">
        <v>160</v>
      </c>
      <c r="AJ15" s="50" t="s">
        <v>160</v>
      </c>
      <c r="AK15" s="163" t="s">
        <v>163</v>
      </c>
      <c r="AL15" s="50" t="s">
        <v>160</v>
      </c>
      <c r="AM15" s="50" t="s">
        <v>160</v>
      </c>
      <c r="AN15" s="50" t="s">
        <v>160</v>
      </c>
      <c r="AO15" s="69" t="s">
        <v>293</v>
      </c>
      <c r="AP15" s="30" t="s">
        <v>167</v>
      </c>
      <c r="AQ15" s="31">
        <v>5</v>
      </c>
      <c r="AR15" s="37" t="s">
        <v>186</v>
      </c>
      <c r="AS15" s="37" t="s">
        <v>187</v>
      </c>
    </row>
    <row r="16" spans="1:45" ht="190.5" customHeight="1" x14ac:dyDescent="0.4">
      <c r="A16" s="61">
        <v>13</v>
      </c>
      <c r="B16" s="62"/>
      <c r="C16" s="18"/>
      <c r="D16" s="18"/>
      <c r="E16" s="62" t="s">
        <v>303</v>
      </c>
      <c r="F16" s="149" t="s">
        <v>304</v>
      </c>
      <c r="G16" s="63" t="s">
        <v>305</v>
      </c>
      <c r="H16" s="64" t="s">
        <v>306</v>
      </c>
      <c r="I16" s="64" t="s">
        <v>307</v>
      </c>
      <c r="J16" s="64" t="s">
        <v>308</v>
      </c>
      <c r="K16" s="63" t="s">
        <v>309</v>
      </c>
      <c r="L16" s="63" t="s">
        <v>310</v>
      </c>
      <c r="M16" s="63" t="s">
        <v>309</v>
      </c>
      <c r="N16" s="63" t="s">
        <v>311</v>
      </c>
      <c r="O16" s="63" t="s">
        <v>241</v>
      </c>
      <c r="P16" s="63" t="s">
        <v>312</v>
      </c>
      <c r="Q16" s="59" t="s">
        <v>275</v>
      </c>
      <c r="R16" s="59" t="s">
        <v>228</v>
      </c>
      <c r="S16" s="67" t="s">
        <v>313</v>
      </c>
      <c r="T16" s="57" t="s">
        <v>314</v>
      </c>
      <c r="U16" s="51" t="s">
        <v>160</v>
      </c>
      <c r="V16" s="51" t="s">
        <v>160</v>
      </c>
      <c r="W16" s="50" t="s">
        <v>160</v>
      </c>
      <c r="X16" s="50" t="s">
        <v>160</v>
      </c>
      <c r="Y16" s="50" t="s">
        <v>160</v>
      </c>
      <c r="Z16" s="50" t="s">
        <v>160</v>
      </c>
      <c r="AA16" s="60">
        <v>0</v>
      </c>
      <c r="AB16" s="60">
        <v>0</v>
      </c>
      <c r="AC16" s="60">
        <v>0</v>
      </c>
      <c r="AD16" s="60">
        <v>0</v>
      </c>
      <c r="AE16" s="49" t="s">
        <v>278</v>
      </c>
      <c r="AF16" s="54">
        <v>4</v>
      </c>
      <c r="AG16" s="59">
        <v>4</v>
      </c>
      <c r="AH16" s="59" t="str">
        <f t="shared" si="0"/>
        <v>Invest</v>
      </c>
      <c r="AI16" s="70">
        <v>46251</v>
      </c>
      <c r="AJ16" s="71">
        <v>46616</v>
      </c>
      <c r="AK16" s="163" t="s">
        <v>163</v>
      </c>
      <c r="AL16" s="14">
        <v>7</v>
      </c>
      <c r="AM16" s="14" t="s">
        <v>184</v>
      </c>
      <c r="AN16" s="69" t="s">
        <v>315</v>
      </c>
      <c r="AO16" s="69" t="s">
        <v>316</v>
      </c>
      <c r="AP16" s="30" t="s">
        <v>167</v>
      </c>
      <c r="AQ16" s="58">
        <v>4</v>
      </c>
      <c r="AR16" s="37" t="s">
        <v>186</v>
      </c>
      <c r="AS16" s="37" t="s">
        <v>187</v>
      </c>
    </row>
    <row r="17" spans="1:45" ht="250.5" customHeight="1" x14ac:dyDescent="0.4">
      <c r="A17" s="18">
        <v>14</v>
      </c>
      <c r="B17" s="18"/>
      <c r="C17" s="18"/>
      <c r="D17" s="18"/>
      <c r="E17" s="19" t="s">
        <v>160</v>
      </c>
      <c r="F17" s="18" t="s">
        <v>317</v>
      </c>
      <c r="G17" s="20" t="s">
        <v>318</v>
      </c>
      <c r="H17" s="20" t="s">
        <v>319</v>
      </c>
      <c r="I17" s="20" t="s">
        <v>320</v>
      </c>
      <c r="J17" s="20" t="s">
        <v>321</v>
      </c>
      <c r="K17" s="20" t="s">
        <v>322</v>
      </c>
      <c r="L17" s="19" t="s">
        <v>160</v>
      </c>
      <c r="M17" s="19" t="s">
        <v>160</v>
      </c>
      <c r="N17" s="19" t="s">
        <v>160</v>
      </c>
      <c r="O17" s="19" t="s">
        <v>160</v>
      </c>
      <c r="P17" s="163" t="s">
        <v>260</v>
      </c>
      <c r="Q17" s="14" t="s">
        <v>275</v>
      </c>
      <c r="R17" s="14" t="s">
        <v>228</v>
      </c>
      <c r="S17" s="163" t="s">
        <v>323</v>
      </c>
      <c r="T17" s="57" t="s">
        <v>324</v>
      </c>
      <c r="U17" s="57" t="s">
        <v>325</v>
      </c>
      <c r="V17" s="57" t="s">
        <v>326</v>
      </c>
      <c r="W17" s="57" t="s">
        <v>326</v>
      </c>
      <c r="X17" s="57" t="s">
        <v>326</v>
      </c>
      <c r="Y17" s="14" t="s">
        <v>327</v>
      </c>
      <c r="Z17" s="14" t="s">
        <v>328</v>
      </c>
      <c r="AA17" s="52">
        <v>0</v>
      </c>
      <c r="AB17" s="52">
        <v>0</v>
      </c>
      <c r="AC17" s="52">
        <v>0</v>
      </c>
      <c r="AD17" s="52">
        <v>0</v>
      </c>
      <c r="AE17" s="57" t="s">
        <v>182</v>
      </c>
      <c r="AF17" s="54">
        <v>3</v>
      </c>
      <c r="AG17" s="55">
        <v>4</v>
      </c>
      <c r="AH17" s="14" t="str">
        <f t="shared" si="0"/>
        <v>Invest</v>
      </c>
      <c r="AI17" s="71">
        <v>46251</v>
      </c>
      <c r="AJ17" s="71">
        <v>46616</v>
      </c>
      <c r="AK17" s="163" t="s">
        <v>163</v>
      </c>
      <c r="AL17" s="14">
        <v>2</v>
      </c>
      <c r="AM17" s="14" t="s">
        <v>164</v>
      </c>
      <c r="AN17" s="69" t="s">
        <v>329</v>
      </c>
      <c r="AO17" s="163" t="s">
        <v>330</v>
      </c>
      <c r="AP17" s="30" t="s">
        <v>167</v>
      </c>
      <c r="AQ17" s="38">
        <v>3</v>
      </c>
      <c r="AR17" s="37" t="s">
        <v>186</v>
      </c>
      <c r="AS17" s="37" t="s">
        <v>187</v>
      </c>
    </row>
    <row r="18" spans="1:45" ht="178.5" customHeight="1" x14ac:dyDescent="0.4">
      <c r="A18" s="18">
        <v>15</v>
      </c>
      <c r="B18" s="18"/>
      <c r="C18" s="18"/>
      <c r="D18" s="18"/>
      <c r="E18" s="18" t="s">
        <v>331</v>
      </c>
      <c r="F18" s="18" t="s">
        <v>332</v>
      </c>
      <c r="G18" s="163" t="s">
        <v>333</v>
      </c>
      <c r="H18" s="163" t="s">
        <v>191</v>
      </c>
      <c r="I18" s="163" t="s">
        <v>192</v>
      </c>
      <c r="J18" s="64" t="s">
        <v>334</v>
      </c>
      <c r="K18" s="20" t="s">
        <v>335</v>
      </c>
      <c r="L18" s="163" t="s">
        <v>336</v>
      </c>
      <c r="M18" s="163" t="s">
        <v>337</v>
      </c>
      <c r="N18" s="20" t="s">
        <v>338</v>
      </c>
      <c r="O18" s="163" t="s">
        <v>339</v>
      </c>
      <c r="P18" s="163" t="s">
        <v>300</v>
      </c>
      <c r="Q18" s="14" t="s">
        <v>243</v>
      </c>
      <c r="R18" s="14" t="s">
        <v>228</v>
      </c>
      <c r="S18" s="163" t="s">
        <v>340</v>
      </c>
      <c r="T18" s="51" t="s">
        <v>160</v>
      </c>
      <c r="U18" s="57" t="s">
        <v>341</v>
      </c>
      <c r="V18" s="57" t="s">
        <v>341</v>
      </c>
      <c r="W18" s="57" t="s">
        <v>342</v>
      </c>
      <c r="X18" s="50" t="s">
        <v>160</v>
      </c>
      <c r="Y18" s="57" t="s">
        <v>343</v>
      </c>
      <c r="Z18" s="14" t="s">
        <v>344</v>
      </c>
      <c r="AA18" s="52">
        <v>0</v>
      </c>
      <c r="AB18" s="52">
        <v>0</v>
      </c>
      <c r="AC18" s="52">
        <v>0</v>
      </c>
      <c r="AD18" s="52">
        <v>0</v>
      </c>
      <c r="AE18" s="57" t="s">
        <v>182</v>
      </c>
      <c r="AF18" s="54">
        <v>3</v>
      </c>
      <c r="AG18" s="55">
        <v>3</v>
      </c>
      <c r="AH18" s="14" t="str">
        <f t="shared" si="0"/>
        <v>Invest</v>
      </c>
      <c r="AI18" s="71">
        <v>46251</v>
      </c>
      <c r="AJ18" s="50" t="s">
        <v>206</v>
      </c>
      <c r="AK18" s="163" t="s">
        <v>163</v>
      </c>
      <c r="AL18" s="14">
        <v>1</v>
      </c>
      <c r="AM18" s="14" t="s">
        <v>164</v>
      </c>
      <c r="AN18" s="69" t="s">
        <v>345</v>
      </c>
      <c r="AO18" s="163" t="s">
        <v>346</v>
      </c>
      <c r="AP18" s="30" t="s">
        <v>167</v>
      </c>
      <c r="AQ18" s="38">
        <v>3</v>
      </c>
      <c r="AR18" s="37" t="s">
        <v>186</v>
      </c>
      <c r="AS18" s="37" t="s">
        <v>187</v>
      </c>
    </row>
    <row r="19" spans="1:45" ht="214.5" customHeight="1" x14ac:dyDescent="0.4">
      <c r="A19" s="150">
        <v>16</v>
      </c>
      <c r="B19" s="150" t="s">
        <v>145</v>
      </c>
      <c r="C19" s="18"/>
      <c r="D19" s="18" t="s">
        <v>145</v>
      </c>
      <c r="E19" s="151" t="s">
        <v>347</v>
      </c>
      <c r="F19" s="151" t="s">
        <v>348</v>
      </c>
      <c r="G19" s="152" t="s">
        <v>349</v>
      </c>
      <c r="H19" s="152" t="s">
        <v>350</v>
      </c>
      <c r="I19" s="152" t="s">
        <v>351</v>
      </c>
      <c r="J19" s="153" t="s">
        <v>352</v>
      </c>
      <c r="K19" s="154" t="s">
        <v>353</v>
      </c>
      <c r="L19" s="152" t="s">
        <v>354</v>
      </c>
      <c r="M19" s="152" t="s">
        <v>355</v>
      </c>
      <c r="N19" s="152" t="s">
        <v>356</v>
      </c>
      <c r="O19" s="152" t="s">
        <v>241</v>
      </c>
      <c r="P19" s="152" t="s">
        <v>357</v>
      </c>
      <c r="Q19" s="14" t="s">
        <v>275</v>
      </c>
      <c r="R19" s="14" t="s">
        <v>228</v>
      </c>
      <c r="S19" s="163" t="s">
        <v>357</v>
      </c>
      <c r="T19" s="57" t="s">
        <v>358</v>
      </c>
      <c r="U19" s="57" t="s">
        <v>359</v>
      </c>
      <c r="V19" s="57" t="s">
        <v>360</v>
      </c>
      <c r="W19" s="57" t="s">
        <v>361</v>
      </c>
      <c r="X19" s="50" t="s">
        <v>160</v>
      </c>
      <c r="Y19" s="57" t="s">
        <v>362</v>
      </c>
      <c r="Z19" s="14" t="s">
        <v>363</v>
      </c>
      <c r="AA19" s="52">
        <v>0</v>
      </c>
      <c r="AB19" s="52">
        <v>0</v>
      </c>
      <c r="AC19" s="52">
        <v>0</v>
      </c>
      <c r="AD19" s="52">
        <v>0</v>
      </c>
      <c r="AE19" s="57" t="s">
        <v>278</v>
      </c>
      <c r="AF19" s="54">
        <v>0</v>
      </c>
      <c r="AG19" s="14">
        <v>0</v>
      </c>
      <c r="AH19" s="14" t="str">
        <f t="shared" si="0"/>
        <v>Eliminate</v>
      </c>
      <c r="AI19" s="71">
        <v>46251</v>
      </c>
      <c r="AJ19" s="71">
        <v>46616</v>
      </c>
      <c r="AK19" s="163" t="s">
        <v>163</v>
      </c>
      <c r="AL19" s="14">
        <v>2</v>
      </c>
      <c r="AM19" s="14" t="s">
        <v>164</v>
      </c>
      <c r="AN19" s="69" t="s">
        <v>364</v>
      </c>
      <c r="AO19" s="163" t="s">
        <v>365</v>
      </c>
      <c r="AP19" s="30" t="s">
        <v>167</v>
      </c>
      <c r="AQ19" s="58">
        <v>4</v>
      </c>
      <c r="AR19" s="37" t="s">
        <v>186</v>
      </c>
      <c r="AS19" s="37" t="s">
        <v>187</v>
      </c>
    </row>
    <row r="20" spans="1:45" ht="24" customHeight="1" x14ac:dyDescent="0.4">
      <c r="A20" s="18">
        <v>17</v>
      </c>
      <c r="B20" s="18" t="s">
        <v>145</v>
      </c>
      <c r="C20" s="18"/>
      <c r="D20" s="18"/>
      <c r="E20" s="18" t="s">
        <v>366</v>
      </c>
      <c r="F20" s="72" t="s">
        <v>367</v>
      </c>
      <c r="G20" s="163" t="s">
        <v>368</v>
      </c>
      <c r="H20" s="163" t="s">
        <v>369</v>
      </c>
      <c r="I20" s="163" t="s">
        <v>370</v>
      </c>
      <c r="J20" s="19" t="s">
        <v>371</v>
      </c>
      <c r="K20" s="20" t="s">
        <v>372</v>
      </c>
      <c r="L20" s="163" t="s">
        <v>373</v>
      </c>
      <c r="M20" s="163" t="s">
        <v>374</v>
      </c>
      <c r="N20" s="163" t="s">
        <v>374</v>
      </c>
      <c r="O20" s="163" t="s">
        <v>374</v>
      </c>
      <c r="P20" s="163" t="s">
        <v>375</v>
      </c>
      <c r="Q20" s="14" t="s">
        <v>275</v>
      </c>
      <c r="R20" s="14" t="s">
        <v>228</v>
      </c>
      <c r="S20" s="163" t="s">
        <v>375</v>
      </c>
      <c r="T20" s="73" t="s">
        <v>376</v>
      </c>
      <c r="U20" s="73" t="s">
        <v>377</v>
      </c>
      <c r="V20" s="51" t="s">
        <v>160</v>
      </c>
      <c r="W20" s="50" t="s">
        <v>160</v>
      </c>
      <c r="X20" s="50" t="s">
        <v>160</v>
      </c>
      <c r="Y20" s="50" t="s">
        <v>160</v>
      </c>
      <c r="Z20" s="14" t="s">
        <v>378</v>
      </c>
      <c r="AA20" s="52">
        <v>0</v>
      </c>
      <c r="AB20" s="52">
        <v>0</v>
      </c>
      <c r="AC20" s="52">
        <v>0</v>
      </c>
      <c r="AD20" s="14">
        <v>0</v>
      </c>
      <c r="AE20" s="57" t="s">
        <v>278</v>
      </c>
      <c r="AF20" s="54">
        <v>4</v>
      </c>
      <c r="AG20" s="55">
        <v>2</v>
      </c>
      <c r="AH20" s="14" t="str">
        <f t="shared" si="0"/>
        <v>Migrate</v>
      </c>
      <c r="AI20" s="50" t="s">
        <v>160</v>
      </c>
      <c r="AJ20" s="50" t="s">
        <v>160</v>
      </c>
      <c r="AK20" s="163" t="s">
        <v>163</v>
      </c>
      <c r="AL20" s="50" t="s">
        <v>160</v>
      </c>
      <c r="AM20" s="50" t="s">
        <v>164</v>
      </c>
      <c r="AN20" s="50" t="s">
        <v>160</v>
      </c>
      <c r="AO20" s="163" t="s">
        <v>379</v>
      </c>
      <c r="AP20" s="30" t="s">
        <v>167</v>
      </c>
      <c r="AQ20" s="58">
        <v>4</v>
      </c>
      <c r="AR20" s="32" t="s">
        <v>380</v>
      </c>
      <c r="AS20" s="42" t="s">
        <v>247</v>
      </c>
    </row>
    <row r="21" spans="1:45" ht="24" customHeight="1" x14ac:dyDescent="0.4">
      <c r="A21" s="18">
        <v>18</v>
      </c>
      <c r="B21" s="18" t="s">
        <v>145</v>
      </c>
      <c r="C21" s="18"/>
      <c r="D21" s="18"/>
      <c r="E21" s="18" t="s">
        <v>381</v>
      </c>
      <c r="F21" s="72" t="s">
        <v>382</v>
      </c>
      <c r="G21" s="163" t="s">
        <v>383</v>
      </c>
      <c r="H21" s="19" t="s">
        <v>160</v>
      </c>
      <c r="I21" s="19" t="s">
        <v>160</v>
      </c>
      <c r="J21" s="19" t="s">
        <v>384</v>
      </c>
      <c r="K21" s="20" t="s">
        <v>385</v>
      </c>
      <c r="L21" s="163" t="s">
        <v>386</v>
      </c>
      <c r="M21" s="163" t="s">
        <v>387</v>
      </c>
      <c r="N21" s="19" t="s">
        <v>160</v>
      </c>
      <c r="O21" s="19" t="s">
        <v>160</v>
      </c>
      <c r="P21" s="163" t="s">
        <v>388</v>
      </c>
      <c r="Q21" s="14" t="s">
        <v>275</v>
      </c>
      <c r="R21" s="14" t="s">
        <v>228</v>
      </c>
      <c r="S21" s="163" t="s">
        <v>388</v>
      </c>
      <c r="T21" s="73" t="s">
        <v>389</v>
      </c>
      <c r="U21" s="51" t="s">
        <v>160</v>
      </c>
      <c r="V21" s="51" t="s">
        <v>160</v>
      </c>
      <c r="W21" s="50" t="s">
        <v>160</v>
      </c>
      <c r="X21" s="50" t="s">
        <v>160</v>
      </c>
      <c r="Y21" s="50" t="s">
        <v>160</v>
      </c>
      <c r="Z21" s="14" t="s">
        <v>390</v>
      </c>
      <c r="AA21" s="52">
        <v>0</v>
      </c>
      <c r="AB21" s="52">
        <v>0</v>
      </c>
      <c r="AC21" s="52">
        <v>0</v>
      </c>
      <c r="AD21" s="14">
        <v>0</v>
      </c>
      <c r="AE21" s="57" t="s">
        <v>182</v>
      </c>
      <c r="AF21" s="54">
        <v>3</v>
      </c>
      <c r="AG21" s="55">
        <v>3</v>
      </c>
      <c r="AH21" s="14" t="str">
        <f t="shared" si="0"/>
        <v>Invest</v>
      </c>
      <c r="AI21" s="50" t="s">
        <v>160</v>
      </c>
      <c r="AJ21" s="50" t="s">
        <v>160</v>
      </c>
      <c r="AK21" s="163" t="s">
        <v>163</v>
      </c>
      <c r="AL21" s="50" t="s">
        <v>391</v>
      </c>
      <c r="AM21" s="50" t="s">
        <v>160</v>
      </c>
      <c r="AN21" s="50" t="s">
        <v>160</v>
      </c>
      <c r="AO21" s="163" t="s">
        <v>392</v>
      </c>
      <c r="AP21" s="30" t="s">
        <v>167</v>
      </c>
      <c r="AQ21" s="38">
        <v>3</v>
      </c>
      <c r="AR21" s="32" t="s">
        <v>393</v>
      </c>
      <c r="AS21" s="42" t="s">
        <v>247</v>
      </c>
    </row>
    <row r="22" spans="1:45" ht="118.5" customHeight="1" x14ac:dyDescent="0.35">
      <c r="A22" s="133">
        <v>19</v>
      </c>
      <c r="B22" s="133" t="s">
        <v>145</v>
      </c>
      <c r="C22" s="18"/>
      <c r="D22" s="18"/>
      <c r="E22" s="18" t="s">
        <v>394</v>
      </c>
      <c r="F22" s="18" t="s">
        <v>395</v>
      </c>
      <c r="G22" s="163" t="s">
        <v>396</v>
      </c>
      <c r="H22" s="163" t="s">
        <v>369</v>
      </c>
      <c r="I22" s="163" t="s">
        <v>370</v>
      </c>
      <c r="J22" s="64" t="s">
        <v>397</v>
      </c>
      <c r="K22" s="20" t="s">
        <v>398</v>
      </c>
      <c r="L22" s="163" t="s">
        <v>399</v>
      </c>
      <c r="M22" s="74" t="s">
        <v>400</v>
      </c>
      <c r="N22" s="143" t="s">
        <v>401</v>
      </c>
      <c r="O22" s="143" t="s">
        <v>401</v>
      </c>
      <c r="P22" s="163" t="s">
        <v>402</v>
      </c>
      <c r="Q22" s="14" t="s">
        <v>275</v>
      </c>
      <c r="R22" s="14" t="s">
        <v>228</v>
      </c>
      <c r="S22" s="163" t="s">
        <v>402</v>
      </c>
      <c r="T22" s="57" t="s">
        <v>376</v>
      </c>
      <c r="U22" s="57" t="s">
        <v>403</v>
      </c>
      <c r="V22" s="57" t="s">
        <v>404</v>
      </c>
      <c r="W22" s="57" t="s">
        <v>342</v>
      </c>
      <c r="X22" s="19" t="s">
        <v>160</v>
      </c>
      <c r="Y22" s="57" t="s">
        <v>405</v>
      </c>
      <c r="Z22" s="163" t="s">
        <v>406</v>
      </c>
      <c r="AA22" s="25">
        <v>0</v>
      </c>
      <c r="AB22" s="25">
        <v>0</v>
      </c>
      <c r="AC22" s="25">
        <v>0</v>
      </c>
      <c r="AD22" s="25">
        <v>0</v>
      </c>
      <c r="AE22" s="57" t="s">
        <v>278</v>
      </c>
      <c r="AF22" s="54">
        <v>3</v>
      </c>
      <c r="AG22" s="14"/>
      <c r="AH22" s="14" t="str">
        <f t="shared" si="0"/>
        <v>Migrate</v>
      </c>
      <c r="AI22" s="71">
        <v>46251</v>
      </c>
      <c r="AJ22" s="71">
        <v>46616</v>
      </c>
      <c r="AK22" s="163" t="s">
        <v>163</v>
      </c>
      <c r="AL22" s="50">
        <v>1</v>
      </c>
      <c r="AM22" s="14" t="s">
        <v>164</v>
      </c>
      <c r="AN22" s="69" t="s">
        <v>407</v>
      </c>
      <c r="AO22" s="163" t="s">
        <v>408</v>
      </c>
      <c r="AP22" s="30" t="s">
        <v>167</v>
      </c>
      <c r="AQ22" s="58">
        <v>4</v>
      </c>
      <c r="AR22" s="32" t="s">
        <v>409</v>
      </c>
      <c r="AS22" s="160" t="s">
        <v>169</v>
      </c>
    </row>
    <row r="23" spans="1:45" ht="152.25" customHeight="1" x14ac:dyDescent="0.4">
      <c r="A23" s="133">
        <v>20</v>
      </c>
      <c r="B23" s="133" t="s">
        <v>145</v>
      </c>
      <c r="C23" s="18"/>
      <c r="D23" s="18"/>
      <c r="E23" s="18" t="s">
        <v>410</v>
      </c>
      <c r="F23" s="18" t="s">
        <v>411</v>
      </c>
      <c r="G23" s="163" t="s">
        <v>412</v>
      </c>
      <c r="H23" s="163" t="s">
        <v>413</v>
      </c>
      <c r="I23" s="163" t="s">
        <v>414</v>
      </c>
      <c r="J23" s="19" t="s">
        <v>160</v>
      </c>
      <c r="K23" s="20" t="s">
        <v>415</v>
      </c>
      <c r="L23" s="163" t="s">
        <v>416</v>
      </c>
      <c r="M23" s="163" t="s">
        <v>417</v>
      </c>
      <c r="N23" s="163" t="s">
        <v>418</v>
      </c>
      <c r="O23" s="163" t="s">
        <v>418</v>
      </c>
      <c r="P23" s="75" t="s">
        <v>419</v>
      </c>
      <c r="Q23" s="14" t="s">
        <v>157</v>
      </c>
      <c r="R23" s="14" t="s">
        <v>228</v>
      </c>
      <c r="S23" s="163" t="s">
        <v>419</v>
      </c>
      <c r="T23" s="51" t="s">
        <v>160</v>
      </c>
      <c r="U23" s="73" t="s">
        <v>420</v>
      </c>
      <c r="V23" s="73" t="s">
        <v>421</v>
      </c>
      <c r="W23" s="50" t="s">
        <v>160</v>
      </c>
      <c r="X23" s="50" t="s">
        <v>160</v>
      </c>
      <c r="Y23" s="50" t="s">
        <v>160</v>
      </c>
      <c r="Z23" s="14" t="s">
        <v>422</v>
      </c>
      <c r="AA23" s="52">
        <v>0</v>
      </c>
      <c r="AB23" s="52">
        <v>0</v>
      </c>
      <c r="AC23" s="52">
        <v>0</v>
      </c>
      <c r="AD23" s="14">
        <v>0</v>
      </c>
      <c r="AE23" s="57" t="s">
        <v>278</v>
      </c>
      <c r="AF23" s="54">
        <v>4</v>
      </c>
      <c r="AG23" s="14"/>
      <c r="AH23" s="14" t="str">
        <f t="shared" si="0"/>
        <v>Migrate</v>
      </c>
      <c r="AI23" s="50" t="s">
        <v>160</v>
      </c>
      <c r="AJ23" s="50" t="s">
        <v>160</v>
      </c>
      <c r="AK23" s="163" t="s">
        <v>163</v>
      </c>
      <c r="AL23" s="50" t="s">
        <v>160</v>
      </c>
      <c r="AM23" s="50" t="s">
        <v>160</v>
      </c>
      <c r="AN23" s="50" t="s">
        <v>160</v>
      </c>
      <c r="AO23" s="163" t="s">
        <v>412</v>
      </c>
      <c r="AP23" s="30" t="s">
        <v>167</v>
      </c>
      <c r="AQ23" s="58">
        <v>4</v>
      </c>
      <c r="AR23" s="32" t="s">
        <v>423</v>
      </c>
      <c r="AS23" s="42" t="s">
        <v>247</v>
      </c>
    </row>
    <row r="24" spans="1:45" ht="305.25" customHeight="1" x14ac:dyDescent="0.4">
      <c r="A24" s="133">
        <v>21</v>
      </c>
      <c r="B24" s="133" t="s">
        <v>145</v>
      </c>
      <c r="C24" s="18"/>
      <c r="D24" s="18"/>
      <c r="E24" s="19" t="s">
        <v>160</v>
      </c>
      <c r="F24" s="18" t="s">
        <v>424</v>
      </c>
      <c r="G24" s="163" t="s">
        <v>425</v>
      </c>
      <c r="H24" s="19" t="s">
        <v>160</v>
      </c>
      <c r="I24" s="19" t="s">
        <v>160</v>
      </c>
      <c r="J24" s="19" t="s">
        <v>160</v>
      </c>
      <c r="K24" s="20" t="s">
        <v>426</v>
      </c>
      <c r="L24" s="138" t="s">
        <v>427</v>
      </c>
      <c r="M24" s="137" t="s">
        <v>428</v>
      </c>
      <c r="N24" s="137" t="s">
        <v>429</v>
      </c>
      <c r="O24" s="137" t="s">
        <v>430</v>
      </c>
      <c r="P24" s="75" t="s">
        <v>431</v>
      </c>
      <c r="Q24" s="14" t="s">
        <v>157</v>
      </c>
      <c r="R24" s="14" t="s">
        <v>432</v>
      </c>
      <c r="S24" s="163" t="s">
        <v>433</v>
      </c>
      <c r="T24" s="51" t="s">
        <v>434</v>
      </c>
      <c r="U24" s="51" t="s">
        <v>160</v>
      </c>
      <c r="V24" s="51" t="s">
        <v>160</v>
      </c>
      <c r="W24" s="50" t="s">
        <v>160</v>
      </c>
      <c r="X24" s="50" t="s">
        <v>160</v>
      </c>
      <c r="Y24" s="50" t="s">
        <v>160</v>
      </c>
      <c r="Z24" s="14" t="s">
        <v>435</v>
      </c>
      <c r="AA24" s="52">
        <v>0</v>
      </c>
      <c r="AB24" s="52">
        <v>0</v>
      </c>
      <c r="AC24" s="52">
        <v>0</v>
      </c>
      <c r="AD24" s="14">
        <v>0</v>
      </c>
      <c r="AE24" s="57" t="s">
        <v>182</v>
      </c>
      <c r="AF24" s="54">
        <v>3</v>
      </c>
      <c r="AG24" s="14"/>
      <c r="AH24" s="14" t="str">
        <f t="shared" si="0"/>
        <v>Migrate</v>
      </c>
      <c r="AI24" s="50" t="s">
        <v>160</v>
      </c>
      <c r="AJ24" s="50" t="s">
        <v>160</v>
      </c>
      <c r="AK24" s="163" t="s">
        <v>163</v>
      </c>
      <c r="AL24" s="50" t="s">
        <v>436</v>
      </c>
      <c r="AM24" s="50" t="s">
        <v>160</v>
      </c>
      <c r="AN24" s="50" t="s">
        <v>160</v>
      </c>
      <c r="AO24" s="163" t="s">
        <v>425</v>
      </c>
      <c r="AP24" s="30" t="s">
        <v>167</v>
      </c>
      <c r="AQ24" s="38">
        <v>3</v>
      </c>
      <c r="AR24" s="37" t="s">
        <v>186</v>
      </c>
      <c r="AS24" s="37" t="s">
        <v>187</v>
      </c>
    </row>
    <row r="25" spans="1:45" ht="156.75" customHeight="1" x14ac:dyDescent="0.4">
      <c r="A25" s="18">
        <v>22</v>
      </c>
      <c r="B25" s="18"/>
      <c r="C25" s="18"/>
      <c r="D25" s="18"/>
      <c r="E25" s="18" t="s">
        <v>437</v>
      </c>
      <c r="F25" s="18" t="s">
        <v>438</v>
      </c>
      <c r="G25" s="163" t="s">
        <v>439</v>
      </c>
      <c r="H25" s="163" t="s">
        <v>149</v>
      </c>
      <c r="I25" s="163" t="s">
        <v>212</v>
      </c>
      <c r="J25" s="64" t="s">
        <v>440</v>
      </c>
      <c r="K25" s="20" t="s">
        <v>441</v>
      </c>
      <c r="L25" s="163" t="s">
        <v>442</v>
      </c>
      <c r="M25" s="74" t="s">
        <v>443</v>
      </c>
      <c r="N25" s="74" t="s">
        <v>442</v>
      </c>
      <c r="O25" s="19" t="s">
        <v>160</v>
      </c>
      <c r="P25" s="75" t="s">
        <v>444</v>
      </c>
      <c r="Q25" s="14" t="s">
        <v>157</v>
      </c>
      <c r="R25" s="14" t="s">
        <v>228</v>
      </c>
      <c r="S25" s="163" t="s">
        <v>444</v>
      </c>
      <c r="T25" s="76" t="s">
        <v>445</v>
      </c>
      <c r="U25" s="51" t="s">
        <v>160</v>
      </c>
      <c r="V25" s="51" t="s">
        <v>160</v>
      </c>
      <c r="W25" s="50" t="s">
        <v>160</v>
      </c>
      <c r="X25" s="50" t="s">
        <v>160</v>
      </c>
      <c r="Y25" s="50" t="s">
        <v>446</v>
      </c>
      <c r="Z25" s="73" t="s">
        <v>447</v>
      </c>
      <c r="AA25" s="52">
        <v>0</v>
      </c>
      <c r="AB25" s="52">
        <v>0</v>
      </c>
      <c r="AC25" s="52">
        <v>0</v>
      </c>
      <c r="AD25" s="52">
        <v>0</v>
      </c>
      <c r="AE25" s="57" t="s">
        <v>182</v>
      </c>
      <c r="AF25" s="54">
        <v>3</v>
      </c>
      <c r="AG25" s="55">
        <v>4</v>
      </c>
      <c r="AH25" s="14" t="str">
        <f t="shared" si="0"/>
        <v>Invest</v>
      </c>
      <c r="AI25" s="71">
        <v>46251</v>
      </c>
      <c r="AJ25" s="71">
        <v>46616</v>
      </c>
      <c r="AK25" s="163" t="s">
        <v>163</v>
      </c>
      <c r="AL25" s="50">
        <v>2</v>
      </c>
      <c r="AM25" s="50" t="s">
        <v>448</v>
      </c>
      <c r="AN25" s="69" t="s">
        <v>449</v>
      </c>
      <c r="AO25" s="163" t="s">
        <v>450</v>
      </c>
      <c r="AP25" s="30" t="s">
        <v>167</v>
      </c>
      <c r="AQ25" s="38">
        <v>3</v>
      </c>
      <c r="AR25" s="32" t="s">
        <v>451</v>
      </c>
      <c r="AS25" s="42" t="s">
        <v>247</v>
      </c>
    </row>
    <row r="26" spans="1:45" ht="30.75" customHeight="1" x14ac:dyDescent="0.4">
      <c r="A26" s="18">
        <v>23</v>
      </c>
      <c r="B26" s="43"/>
      <c r="C26" s="18"/>
      <c r="D26" s="18"/>
      <c r="E26" s="43" t="s">
        <v>437</v>
      </c>
      <c r="F26" s="18" t="s">
        <v>452</v>
      </c>
      <c r="G26" s="44" t="s">
        <v>453</v>
      </c>
      <c r="H26" s="74" t="s">
        <v>149</v>
      </c>
      <c r="I26" s="74" t="s">
        <v>212</v>
      </c>
      <c r="J26" s="45" t="s">
        <v>283</v>
      </c>
      <c r="K26" s="46" t="s">
        <v>454</v>
      </c>
      <c r="L26" s="44" t="s">
        <v>442</v>
      </c>
      <c r="M26" s="44" t="s">
        <v>443</v>
      </c>
      <c r="N26" s="44" t="s">
        <v>442</v>
      </c>
      <c r="O26" s="44" t="s">
        <v>241</v>
      </c>
      <c r="P26" s="44" t="s">
        <v>216</v>
      </c>
      <c r="Q26" s="59" t="s">
        <v>157</v>
      </c>
      <c r="R26" s="59" t="s">
        <v>228</v>
      </c>
      <c r="S26" s="22" t="s">
        <v>455</v>
      </c>
      <c r="T26" s="57" t="s">
        <v>445</v>
      </c>
      <c r="U26" s="51" t="s">
        <v>160</v>
      </c>
      <c r="V26" s="51" t="s">
        <v>160</v>
      </c>
      <c r="W26" s="50" t="s">
        <v>160</v>
      </c>
      <c r="X26" s="50" t="s">
        <v>160</v>
      </c>
      <c r="Y26" s="50" t="s">
        <v>160</v>
      </c>
      <c r="Z26" s="59" t="s">
        <v>456</v>
      </c>
      <c r="AA26" s="60">
        <v>0</v>
      </c>
      <c r="AB26" s="60">
        <v>0</v>
      </c>
      <c r="AC26" s="60">
        <v>0</v>
      </c>
      <c r="AD26" s="59"/>
      <c r="AE26" s="73" t="s">
        <v>182</v>
      </c>
      <c r="AF26" s="54">
        <v>3</v>
      </c>
      <c r="AG26" s="55">
        <v>4</v>
      </c>
      <c r="AH26" s="59" t="str">
        <f t="shared" si="0"/>
        <v>Invest</v>
      </c>
      <c r="AI26" s="19" t="s">
        <v>160</v>
      </c>
      <c r="AJ26" s="50" t="s">
        <v>160</v>
      </c>
      <c r="AK26" s="163" t="s">
        <v>163</v>
      </c>
      <c r="AL26" s="50" t="s">
        <v>160</v>
      </c>
      <c r="AM26" s="50" t="s">
        <v>160</v>
      </c>
      <c r="AN26" s="50" t="s">
        <v>160</v>
      </c>
      <c r="AO26" s="163" t="s">
        <v>457</v>
      </c>
      <c r="AP26" s="30" t="s">
        <v>167</v>
      </c>
      <c r="AQ26" s="38">
        <v>3</v>
      </c>
      <c r="AR26" s="37" t="s">
        <v>186</v>
      </c>
      <c r="AS26" s="37" t="s">
        <v>187</v>
      </c>
    </row>
    <row r="27" spans="1:45" ht="168.75" customHeight="1" x14ac:dyDescent="0.4">
      <c r="A27" s="133">
        <v>24</v>
      </c>
      <c r="B27" s="133" t="s">
        <v>145</v>
      </c>
      <c r="C27" s="18"/>
      <c r="D27" s="18"/>
      <c r="E27" s="18" t="s">
        <v>458</v>
      </c>
      <c r="F27" s="18" t="s">
        <v>459</v>
      </c>
      <c r="G27" s="163" t="s">
        <v>460</v>
      </c>
      <c r="H27" s="163" t="s">
        <v>149</v>
      </c>
      <c r="I27" s="163" t="s">
        <v>461</v>
      </c>
      <c r="J27" s="64" t="s">
        <v>462</v>
      </c>
      <c r="K27" s="20" t="s">
        <v>463</v>
      </c>
      <c r="L27" s="21" t="s">
        <v>464</v>
      </c>
      <c r="M27" s="74" t="s">
        <v>417</v>
      </c>
      <c r="N27" s="74" t="s">
        <v>465</v>
      </c>
      <c r="O27" s="74" t="s">
        <v>465</v>
      </c>
      <c r="P27" s="163" t="s">
        <v>466</v>
      </c>
      <c r="Q27" s="14" t="s">
        <v>157</v>
      </c>
      <c r="R27" s="14" t="s">
        <v>228</v>
      </c>
      <c r="S27" s="163" t="s">
        <v>467</v>
      </c>
      <c r="T27" s="57" t="s">
        <v>468</v>
      </c>
      <c r="U27" s="51" t="s">
        <v>160</v>
      </c>
      <c r="V27" s="51" t="s">
        <v>160</v>
      </c>
      <c r="W27" s="50" t="s">
        <v>160</v>
      </c>
      <c r="X27" s="73" t="s">
        <v>469</v>
      </c>
      <c r="Y27" s="50" t="s">
        <v>160</v>
      </c>
      <c r="Z27" s="73" t="s">
        <v>470</v>
      </c>
      <c r="AA27" s="52">
        <v>0</v>
      </c>
      <c r="AB27" s="52">
        <v>0</v>
      </c>
      <c r="AC27" s="52">
        <v>0</v>
      </c>
      <c r="AD27" s="52">
        <v>0</v>
      </c>
      <c r="AE27" s="57" t="s">
        <v>278</v>
      </c>
      <c r="AF27" s="54">
        <v>4</v>
      </c>
      <c r="AG27" s="55">
        <v>4</v>
      </c>
      <c r="AH27" s="14" t="str">
        <f t="shared" si="0"/>
        <v>Invest</v>
      </c>
      <c r="AI27" s="71">
        <v>46251</v>
      </c>
      <c r="AJ27" s="71">
        <v>46616</v>
      </c>
      <c r="AK27" s="163" t="s">
        <v>163</v>
      </c>
      <c r="AL27" s="50">
        <v>4</v>
      </c>
      <c r="AM27" s="50" t="s">
        <v>164</v>
      </c>
      <c r="AN27" s="69" t="s">
        <v>471</v>
      </c>
      <c r="AO27" s="163" t="s">
        <v>472</v>
      </c>
      <c r="AP27" s="30" t="s">
        <v>167</v>
      </c>
      <c r="AQ27" s="58">
        <v>4</v>
      </c>
      <c r="AR27" s="37" t="s">
        <v>186</v>
      </c>
      <c r="AS27" s="37" t="s">
        <v>187</v>
      </c>
    </row>
    <row r="28" spans="1:45" ht="24" customHeight="1" x14ac:dyDescent="0.4">
      <c r="A28" s="183">
        <v>25</v>
      </c>
      <c r="B28" s="157"/>
      <c r="C28" s="18"/>
      <c r="D28" s="18"/>
      <c r="E28" s="66" t="s">
        <v>473</v>
      </c>
      <c r="F28" s="183" t="s">
        <v>474</v>
      </c>
      <c r="G28" s="186" t="s">
        <v>475</v>
      </c>
      <c r="H28" s="46" t="s">
        <v>476</v>
      </c>
      <c r="I28" s="45" t="s">
        <v>160</v>
      </c>
      <c r="J28" s="45" t="s">
        <v>160</v>
      </c>
      <c r="K28" s="45" t="s">
        <v>160</v>
      </c>
      <c r="L28" s="45" t="s">
        <v>160</v>
      </c>
      <c r="M28" s="45" t="s">
        <v>160</v>
      </c>
      <c r="N28" s="45" t="s">
        <v>160</v>
      </c>
      <c r="O28" s="45" t="s">
        <v>160</v>
      </c>
      <c r="P28" s="45" t="s">
        <v>160</v>
      </c>
      <c r="Q28" s="59"/>
      <c r="R28" s="59"/>
      <c r="S28" s="163" t="s">
        <v>477</v>
      </c>
      <c r="T28" s="51" t="s">
        <v>160</v>
      </c>
      <c r="U28" s="51" t="s">
        <v>160</v>
      </c>
      <c r="V28" s="51" t="s">
        <v>160</v>
      </c>
      <c r="W28" s="50" t="s">
        <v>160</v>
      </c>
      <c r="X28" s="50" t="s">
        <v>160</v>
      </c>
      <c r="Y28" s="50"/>
      <c r="Z28" s="50" t="s">
        <v>160</v>
      </c>
      <c r="AA28" s="59"/>
      <c r="AB28" s="59"/>
      <c r="AC28" s="59"/>
      <c r="AD28" s="59"/>
      <c r="AE28" s="77" t="s">
        <v>182</v>
      </c>
      <c r="AF28" s="54"/>
      <c r="AG28" s="55"/>
      <c r="AH28" s="78" t="s">
        <v>478</v>
      </c>
      <c r="AI28" s="50" t="s">
        <v>160</v>
      </c>
      <c r="AJ28" s="163" t="s">
        <v>477</v>
      </c>
      <c r="AK28" s="50" t="s">
        <v>160</v>
      </c>
      <c r="AL28" s="50" t="s">
        <v>160</v>
      </c>
      <c r="AM28" s="50" t="s">
        <v>160</v>
      </c>
      <c r="AN28" s="163" t="s">
        <v>477</v>
      </c>
      <c r="AO28" s="79" t="s">
        <v>167</v>
      </c>
      <c r="AP28" s="80">
        <v>3</v>
      </c>
      <c r="AQ28" s="38">
        <v>3</v>
      </c>
      <c r="AR28" s="37" t="s">
        <v>186</v>
      </c>
      <c r="AS28" s="37" t="s">
        <v>187</v>
      </c>
    </row>
    <row r="29" spans="1:45" ht="76.5" customHeight="1" x14ac:dyDescent="0.4">
      <c r="A29" s="184"/>
      <c r="B29" s="157"/>
      <c r="C29" s="18"/>
      <c r="D29" s="18"/>
      <c r="E29" s="66" t="s">
        <v>479</v>
      </c>
      <c r="F29" s="184"/>
      <c r="G29" s="184"/>
      <c r="H29" s="66" t="s">
        <v>480</v>
      </c>
      <c r="I29" s="65" t="s">
        <v>160</v>
      </c>
      <c r="J29" s="65" t="s">
        <v>160</v>
      </c>
      <c r="K29" s="65" t="s">
        <v>160</v>
      </c>
      <c r="L29" s="74" t="s">
        <v>481</v>
      </c>
      <c r="M29" s="74" t="s">
        <v>482</v>
      </c>
      <c r="N29" s="74" t="s">
        <v>483</v>
      </c>
      <c r="O29" s="74" t="s">
        <v>483</v>
      </c>
      <c r="P29" s="45" t="s">
        <v>160</v>
      </c>
      <c r="Q29" s="59" t="s">
        <v>157</v>
      </c>
      <c r="R29" s="14"/>
      <c r="S29" s="163" t="s">
        <v>484</v>
      </c>
      <c r="T29" s="163" t="s">
        <v>485</v>
      </c>
      <c r="U29" s="51" t="s">
        <v>160</v>
      </c>
      <c r="V29" s="51" t="s">
        <v>160</v>
      </c>
      <c r="W29" s="50" t="s">
        <v>160</v>
      </c>
      <c r="X29" s="50" t="s">
        <v>160</v>
      </c>
      <c r="Y29" s="50"/>
      <c r="Z29" s="50" t="s">
        <v>160</v>
      </c>
      <c r="AA29" s="59"/>
      <c r="AB29" s="59"/>
      <c r="AC29" s="59"/>
      <c r="AD29" s="59"/>
      <c r="AE29" s="77" t="s">
        <v>182</v>
      </c>
      <c r="AF29" s="54"/>
      <c r="AG29" s="55"/>
      <c r="AH29" s="78" t="s">
        <v>478</v>
      </c>
      <c r="AI29" s="50" t="s">
        <v>160</v>
      </c>
      <c r="AJ29" s="69" t="s">
        <v>477</v>
      </c>
      <c r="AK29" s="50" t="s">
        <v>160</v>
      </c>
      <c r="AL29" s="50" t="s">
        <v>160</v>
      </c>
      <c r="AM29" s="50" t="s">
        <v>160</v>
      </c>
      <c r="AN29" s="81" t="s">
        <v>486</v>
      </c>
      <c r="AO29" s="82" t="s">
        <v>167</v>
      </c>
      <c r="AP29" s="83">
        <v>3</v>
      </c>
      <c r="AQ29" s="38"/>
    </row>
    <row r="30" spans="1:45" ht="36" customHeight="1" x14ac:dyDescent="0.4">
      <c r="A30" s="185"/>
      <c r="B30" s="157"/>
      <c r="C30" s="18"/>
      <c r="D30" s="18"/>
      <c r="E30" s="66" t="s">
        <v>487</v>
      </c>
      <c r="F30" s="185"/>
      <c r="G30" s="185"/>
      <c r="H30" s="66" t="s">
        <v>488</v>
      </c>
      <c r="I30" s="65" t="s">
        <v>160</v>
      </c>
      <c r="J30" s="65" t="s">
        <v>160</v>
      </c>
      <c r="K30" s="65" t="s">
        <v>309</v>
      </c>
      <c r="L30" s="45" t="s">
        <v>160</v>
      </c>
      <c r="M30" s="74" t="s">
        <v>309</v>
      </c>
      <c r="N30" s="74" t="s">
        <v>311</v>
      </c>
      <c r="O30" s="19" t="s">
        <v>160</v>
      </c>
      <c r="P30" s="74" t="s">
        <v>489</v>
      </c>
      <c r="Q30" s="59" t="s">
        <v>157</v>
      </c>
      <c r="R30" s="59" t="s">
        <v>217</v>
      </c>
      <c r="S30" s="163" t="s">
        <v>490</v>
      </c>
      <c r="T30" s="51" t="s">
        <v>160</v>
      </c>
      <c r="U30" s="51" t="s">
        <v>160</v>
      </c>
      <c r="V30" s="51" t="s">
        <v>160</v>
      </c>
      <c r="W30" s="50" t="s">
        <v>160</v>
      </c>
      <c r="X30" s="50" t="s">
        <v>160</v>
      </c>
      <c r="Y30" s="50" t="s">
        <v>160</v>
      </c>
      <c r="Z30" s="50" t="s">
        <v>160</v>
      </c>
      <c r="AA30" s="59" t="s">
        <v>491</v>
      </c>
      <c r="AB30" s="59" t="s">
        <v>491</v>
      </c>
      <c r="AC30" s="59" t="s">
        <v>491</v>
      </c>
      <c r="AD30" s="59"/>
      <c r="AE30" s="77" t="s">
        <v>182</v>
      </c>
      <c r="AF30" s="54">
        <v>3</v>
      </c>
      <c r="AG30" s="59"/>
      <c r="AH30" s="84" t="s">
        <v>492</v>
      </c>
      <c r="AI30" s="50" t="s">
        <v>160</v>
      </c>
      <c r="AJ30" s="69" t="s">
        <v>163</v>
      </c>
      <c r="AK30" s="50" t="s">
        <v>160</v>
      </c>
      <c r="AL30" s="50" t="s">
        <v>160</v>
      </c>
      <c r="AM30" s="50" t="s">
        <v>160</v>
      </c>
      <c r="AN30" s="163" t="s">
        <v>475</v>
      </c>
      <c r="AO30" s="82" t="s">
        <v>167</v>
      </c>
      <c r="AP30" s="83">
        <v>3</v>
      </c>
      <c r="AQ30" s="38"/>
    </row>
    <row r="31" spans="1:45" ht="48" customHeight="1" x14ac:dyDescent="0.4">
      <c r="A31" s="133">
        <v>26</v>
      </c>
      <c r="B31" s="156" t="s">
        <v>145</v>
      </c>
      <c r="C31" s="18"/>
      <c r="D31" s="18"/>
      <c r="E31" s="45" t="s">
        <v>160</v>
      </c>
      <c r="F31" s="18" t="s">
        <v>493</v>
      </c>
      <c r="G31" s="64" t="s">
        <v>494</v>
      </c>
      <c r="H31" s="65" t="s">
        <v>160</v>
      </c>
      <c r="I31" s="65" t="s">
        <v>160</v>
      </c>
      <c r="J31" s="65" t="s">
        <v>160</v>
      </c>
      <c r="K31" s="66" t="s">
        <v>160</v>
      </c>
      <c r="L31" s="137" t="s">
        <v>373</v>
      </c>
      <c r="M31" s="137" t="s">
        <v>495</v>
      </c>
      <c r="N31" s="137" t="s">
        <v>496</v>
      </c>
      <c r="O31" s="137" t="s">
        <v>496</v>
      </c>
      <c r="P31" s="64" t="s">
        <v>497</v>
      </c>
      <c r="Q31" s="59" t="s">
        <v>275</v>
      </c>
      <c r="R31" s="59" t="s">
        <v>228</v>
      </c>
      <c r="S31" s="69" t="s">
        <v>498</v>
      </c>
      <c r="T31" s="51" t="s">
        <v>160</v>
      </c>
      <c r="U31" s="51" t="s">
        <v>160</v>
      </c>
      <c r="V31" s="51" t="s">
        <v>160</v>
      </c>
      <c r="W31" s="50" t="s">
        <v>160</v>
      </c>
      <c r="X31" s="50" t="s">
        <v>160</v>
      </c>
      <c r="Y31" s="50" t="s">
        <v>160</v>
      </c>
      <c r="Z31" s="59" t="s">
        <v>499</v>
      </c>
      <c r="AA31" s="59" t="s">
        <v>491</v>
      </c>
      <c r="AB31" s="59" t="s">
        <v>491</v>
      </c>
      <c r="AC31" s="59" t="s">
        <v>491</v>
      </c>
      <c r="AD31" s="59"/>
      <c r="AE31" s="86" t="s">
        <v>278</v>
      </c>
      <c r="AF31" s="54">
        <v>4</v>
      </c>
      <c r="AG31" s="59"/>
      <c r="AH31" s="84" t="s">
        <v>492</v>
      </c>
      <c r="AI31" s="50" t="s">
        <v>160</v>
      </c>
      <c r="AJ31" s="69" t="s">
        <v>163</v>
      </c>
      <c r="AK31" s="50" t="s">
        <v>160</v>
      </c>
      <c r="AL31" s="50" t="s">
        <v>160</v>
      </c>
      <c r="AM31" s="50" t="s">
        <v>160</v>
      </c>
      <c r="AN31" s="69" t="s">
        <v>494</v>
      </c>
      <c r="AO31" s="87" t="s">
        <v>500</v>
      </c>
      <c r="AP31" s="88">
        <v>4</v>
      </c>
      <c r="AQ31" s="58">
        <v>4</v>
      </c>
      <c r="AR31" s="37" t="s">
        <v>186</v>
      </c>
      <c r="AS31" s="37" t="s">
        <v>187</v>
      </c>
    </row>
    <row r="32" spans="1:45" ht="48" customHeight="1" x14ac:dyDescent="0.4">
      <c r="A32" s="85">
        <v>27</v>
      </c>
      <c r="B32" s="157"/>
      <c r="C32" s="18"/>
      <c r="D32" s="18"/>
      <c r="E32" s="65" t="s">
        <v>160</v>
      </c>
      <c r="F32" s="144" t="s">
        <v>501</v>
      </c>
      <c r="G32" s="64" t="s">
        <v>502</v>
      </c>
      <c r="H32" s="65" t="s">
        <v>160</v>
      </c>
      <c r="I32" s="65" t="s">
        <v>160</v>
      </c>
      <c r="J32" s="65" t="s">
        <v>160</v>
      </c>
      <c r="K32" s="66" t="s">
        <v>160</v>
      </c>
      <c r="L32" s="65" t="s">
        <v>160</v>
      </c>
      <c r="M32" s="65" t="s">
        <v>160</v>
      </c>
      <c r="N32" s="65" t="s">
        <v>160</v>
      </c>
      <c r="O32" s="65" t="s">
        <v>160</v>
      </c>
      <c r="P32" s="64" t="s">
        <v>503</v>
      </c>
      <c r="Q32" s="59" t="s">
        <v>275</v>
      </c>
      <c r="R32" s="59" t="s">
        <v>228</v>
      </c>
      <c r="S32" s="69" t="s">
        <v>504</v>
      </c>
      <c r="T32" s="51" t="s">
        <v>160</v>
      </c>
      <c r="U32" s="51" t="s">
        <v>160</v>
      </c>
      <c r="V32" s="51" t="s">
        <v>160</v>
      </c>
      <c r="W32" s="50" t="s">
        <v>160</v>
      </c>
      <c r="X32" s="50" t="s">
        <v>160</v>
      </c>
      <c r="Y32" s="50" t="s">
        <v>160</v>
      </c>
      <c r="Z32" s="50" t="s">
        <v>160</v>
      </c>
      <c r="AA32" s="59" t="s">
        <v>491</v>
      </c>
      <c r="AB32" s="59" t="s">
        <v>491</v>
      </c>
      <c r="AC32" s="59" t="s">
        <v>491</v>
      </c>
      <c r="AD32" s="59"/>
      <c r="AE32" s="77" t="s">
        <v>182</v>
      </c>
      <c r="AF32" s="54">
        <v>3</v>
      </c>
      <c r="AG32" s="59"/>
      <c r="AH32" s="84" t="s">
        <v>492</v>
      </c>
      <c r="AI32" s="50" t="s">
        <v>160</v>
      </c>
      <c r="AJ32" s="69" t="s">
        <v>163</v>
      </c>
      <c r="AK32" s="50" t="s">
        <v>160</v>
      </c>
      <c r="AL32" s="50" t="s">
        <v>160</v>
      </c>
      <c r="AM32" s="50" t="s">
        <v>160</v>
      </c>
      <c r="AN32" s="69" t="s">
        <v>502</v>
      </c>
      <c r="AO32" s="87" t="s">
        <v>500</v>
      </c>
      <c r="AP32" s="83">
        <v>3</v>
      </c>
      <c r="AQ32" s="38">
        <v>3</v>
      </c>
      <c r="AR32" s="37" t="s">
        <v>186</v>
      </c>
      <c r="AS32" s="37" t="s">
        <v>187</v>
      </c>
    </row>
    <row r="33" spans="1:45" ht="45.75" customHeight="1" x14ac:dyDescent="0.4">
      <c r="A33" s="133">
        <v>28</v>
      </c>
      <c r="B33" s="158" t="s">
        <v>145</v>
      </c>
      <c r="C33" s="18"/>
      <c r="D33" s="18"/>
      <c r="E33" s="89" t="s">
        <v>505</v>
      </c>
      <c r="F33" s="18" t="s">
        <v>506</v>
      </c>
      <c r="G33" s="64" t="s">
        <v>507</v>
      </c>
      <c r="H33" s="89" t="s">
        <v>508</v>
      </c>
      <c r="I33" s="68" t="s">
        <v>160</v>
      </c>
      <c r="J33" s="65" t="s">
        <v>160</v>
      </c>
      <c r="K33" s="145" t="s">
        <v>509</v>
      </c>
      <c r="L33" s="148" t="s">
        <v>510</v>
      </c>
      <c r="M33" s="146" t="s">
        <v>428</v>
      </c>
      <c r="N33" s="147" t="s">
        <v>511</v>
      </c>
      <c r="O33" s="147" t="s">
        <v>511</v>
      </c>
      <c r="P33" s="69" t="s">
        <v>506</v>
      </c>
      <c r="Q33" s="59" t="s">
        <v>157</v>
      </c>
      <c r="R33" s="59" t="s">
        <v>228</v>
      </c>
      <c r="S33" s="89" t="s">
        <v>512</v>
      </c>
      <c r="T33" s="74" t="s">
        <v>513</v>
      </c>
      <c r="U33" s="51" t="s">
        <v>160</v>
      </c>
      <c r="V33" s="51" t="s">
        <v>160</v>
      </c>
      <c r="W33" s="50" t="s">
        <v>160</v>
      </c>
      <c r="X33" s="50" t="s">
        <v>160</v>
      </c>
      <c r="Y33" s="50" t="s">
        <v>160</v>
      </c>
      <c r="Z33" s="50" t="s">
        <v>160</v>
      </c>
      <c r="AA33" s="59" t="s">
        <v>491</v>
      </c>
      <c r="AB33" s="59" t="s">
        <v>491</v>
      </c>
      <c r="AC33" s="59" t="s">
        <v>491</v>
      </c>
      <c r="AD33" s="59"/>
      <c r="AE33" s="77" t="s">
        <v>182</v>
      </c>
      <c r="AF33" s="54">
        <v>3</v>
      </c>
      <c r="AG33" s="59"/>
      <c r="AH33" s="84" t="s">
        <v>492</v>
      </c>
      <c r="AI33" s="50" t="s">
        <v>160</v>
      </c>
      <c r="AJ33" s="69" t="s">
        <v>163</v>
      </c>
      <c r="AK33" s="50" t="s">
        <v>160</v>
      </c>
      <c r="AL33" s="50" t="s">
        <v>160</v>
      </c>
      <c r="AM33" s="50" t="s">
        <v>160</v>
      </c>
      <c r="AN33" s="69" t="s">
        <v>507</v>
      </c>
      <c r="AO33" s="87" t="s">
        <v>500</v>
      </c>
      <c r="AP33" s="83">
        <v>3</v>
      </c>
      <c r="AQ33" s="38">
        <v>3</v>
      </c>
      <c r="AR33" s="37" t="s">
        <v>186</v>
      </c>
      <c r="AS33" s="37" t="s">
        <v>187</v>
      </c>
    </row>
    <row r="34" spans="1:45" ht="30.75" customHeight="1" x14ac:dyDescent="0.4">
      <c r="A34" s="133">
        <v>29</v>
      </c>
      <c r="B34" s="133" t="s">
        <v>145</v>
      </c>
      <c r="C34" s="18"/>
      <c r="D34" s="18"/>
      <c r="E34" s="19" t="s">
        <v>160</v>
      </c>
      <c r="F34" s="18" t="s">
        <v>514</v>
      </c>
      <c r="G34" s="163" t="s">
        <v>515</v>
      </c>
      <c r="H34" s="19" t="s">
        <v>160</v>
      </c>
      <c r="I34" s="19" t="s">
        <v>160</v>
      </c>
      <c r="J34" s="19" t="s">
        <v>160</v>
      </c>
      <c r="K34" s="20" t="s">
        <v>516</v>
      </c>
      <c r="L34" s="137" t="s">
        <v>517</v>
      </c>
      <c r="M34" s="137" t="s">
        <v>495</v>
      </c>
      <c r="N34" s="137" t="s">
        <v>496</v>
      </c>
      <c r="O34" s="137" t="s">
        <v>496</v>
      </c>
      <c r="P34" s="163" t="s">
        <v>518</v>
      </c>
      <c r="Q34" s="14" t="s">
        <v>275</v>
      </c>
      <c r="R34" s="50" t="s">
        <v>160</v>
      </c>
      <c r="S34" s="163" t="s">
        <v>519</v>
      </c>
      <c r="T34" s="51" t="s">
        <v>160</v>
      </c>
      <c r="U34" s="51" t="s">
        <v>160</v>
      </c>
      <c r="V34" s="51" t="s">
        <v>160</v>
      </c>
      <c r="W34" s="50" t="s">
        <v>160</v>
      </c>
      <c r="X34" s="50" t="s">
        <v>160</v>
      </c>
      <c r="Y34" s="50" t="s">
        <v>160</v>
      </c>
      <c r="Z34" s="50" t="s">
        <v>160</v>
      </c>
      <c r="AA34" s="52">
        <v>0</v>
      </c>
      <c r="AB34" s="52">
        <v>0</v>
      </c>
      <c r="AC34" s="52">
        <v>0</v>
      </c>
      <c r="AD34" s="14">
        <v>0</v>
      </c>
      <c r="AE34" s="57" t="s">
        <v>182</v>
      </c>
      <c r="AF34" s="54">
        <v>3</v>
      </c>
      <c r="AG34" s="14"/>
      <c r="AH34" s="14" t="str">
        <f t="shared" ref="AH34:AH69" si="1">IF(AND(AF34&gt;=3,AG34&gt;=3),"Invest",IF(AND(AF34&gt;=3,AG34&lt;3),"Migrate",IF(AND(AF34&lt;3,AG34&gt;=3),"Tolerate","Eliminate")))</f>
        <v>Migrate</v>
      </c>
      <c r="AI34" s="50" t="s">
        <v>160</v>
      </c>
      <c r="AJ34" s="50" t="s">
        <v>160</v>
      </c>
      <c r="AK34" s="163" t="s">
        <v>163</v>
      </c>
      <c r="AL34" s="50" t="s">
        <v>160</v>
      </c>
      <c r="AM34" s="50" t="s">
        <v>160</v>
      </c>
      <c r="AN34" s="50" t="s">
        <v>160</v>
      </c>
      <c r="AO34" s="163" t="s">
        <v>515</v>
      </c>
      <c r="AP34" s="90" t="s">
        <v>500</v>
      </c>
      <c r="AQ34" s="38">
        <v>3</v>
      </c>
      <c r="AR34" s="37" t="s">
        <v>186</v>
      </c>
      <c r="AS34" s="37" t="s">
        <v>187</v>
      </c>
    </row>
    <row r="35" spans="1:45" ht="96" customHeight="1" x14ac:dyDescent="0.35">
      <c r="A35" s="133">
        <v>30</v>
      </c>
      <c r="B35" s="133" t="s">
        <v>145</v>
      </c>
      <c r="C35" s="18"/>
      <c r="D35" s="18"/>
      <c r="E35" s="19" t="s">
        <v>160</v>
      </c>
      <c r="F35" s="18" t="s">
        <v>520</v>
      </c>
      <c r="G35" s="163" t="s">
        <v>521</v>
      </c>
      <c r="H35" s="19" t="s">
        <v>160</v>
      </c>
      <c r="I35" s="19" t="s">
        <v>160</v>
      </c>
      <c r="J35" s="19" t="s">
        <v>160</v>
      </c>
      <c r="K35" s="20" t="s">
        <v>522</v>
      </c>
      <c r="L35" s="137" t="s">
        <v>373</v>
      </c>
      <c r="M35" s="137" t="s">
        <v>495</v>
      </c>
      <c r="N35" s="137" t="s">
        <v>496</v>
      </c>
      <c r="O35" s="137" t="s">
        <v>496</v>
      </c>
      <c r="P35" s="22" t="s">
        <v>523</v>
      </c>
      <c r="Q35" s="14" t="s">
        <v>157</v>
      </c>
      <c r="R35" s="14" t="s">
        <v>228</v>
      </c>
      <c r="S35" s="163" t="s">
        <v>524</v>
      </c>
      <c r="T35" s="51" t="s">
        <v>160</v>
      </c>
      <c r="U35" s="51" t="s">
        <v>160</v>
      </c>
      <c r="V35" s="51" t="s">
        <v>160</v>
      </c>
      <c r="W35" s="50" t="s">
        <v>160</v>
      </c>
      <c r="X35" s="50" t="s">
        <v>160</v>
      </c>
      <c r="Y35" s="50" t="s">
        <v>160</v>
      </c>
      <c r="Z35" s="14" t="s">
        <v>525</v>
      </c>
      <c r="AA35" s="52">
        <v>0</v>
      </c>
      <c r="AB35" s="52">
        <v>0</v>
      </c>
      <c r="AC35" s="52">
        <v>0</v>
      </c>
      <c r="AD35" s="14">
        <v>0</v>
      </c>
      <c r="AE35" s="57" t="s">
        <v>278</v>
      </c>
      <c r="AF35" s="54">
        <v>4</v>
      </c>
      <c r="AG35" s="55">
        <v>3</v>
      </c>
      <c r="AH35" s="14" t="str">
        <f t="shared" si="1"/>
        <v>Invest</v>
      </c>
      <c r="AI35" s="50" t="s">
        <v>160</v>
      </c>
      <c r="AJ35" s="50" t="s">
        <v>160</v>
      </c>
      <c r="AK35" s="163" t="s">
        <v>163</v>
      </c>
      <c r="AL35" s="50" t="s">
        <v>526</v>
      </c>
      <c r="AM35" s="50" t="s">
        <v>160</v>
      </c>
      <c r="AN35" s="50" t="s">
        <v>160</v>
      </c>
      <c r="AO35" s="163" t="s">
        <v>527</v>
      </c>
      <c r="AP35" s="90" t="s">
        <v>500</v>
      </c>
      <c r="AQ35" s="58">
        <v>4</v>
      </c>
      <c r="AR35" s="32" t="s">
        <v>528</v>
      </c>
      <c r="AS35" s="160" t="s">
        <v>169</v>
      </c>
    </row>
    <row r="36" spans="1:45" ht="30.75" customHeight="1" x14ac:dyDescent="0.4">
      <c r="A36" s="18">
        <v>31</v>
      </c>
      <c r="B36" s="18"/>
      <c r="C36" s="18"/>
      <c r="D36" s="18"/>
      <c r="E36" s="19" t="s">
        <v>160</v>
      </c>
      <c r="F36" s="18" t="s">
        <v>529</v>
      </c>
      <c r="G36" s="163" t="s">
        <v>530</v>
      </c>
      <c r="H36" s="19" t="s">
        <v>160</v>
      </c>
      <c r="I36" s="19" t="s">
        <v>160</v>
      </c>
      <c r="J36" s="19" t="s">
        <v>160</v>
      </c>
      <c r="K36" s="20" t="s">
        <v>516</v>
      </c>
      <c r="L36" s="19" t="s">
        <v>160</v>
      </c>
      <c r="M36" s="19" t="s">
        <v>160</v>
      </c>
      <c r="N36" s="19" t="s">
        <v>160</v>
      </c>
      <c r="O36" s="19" t="s">
        <v>160</v>
      </c>
      <c r="P36" s="163" t="s">
        <v>531</v>
      </c>
      <c r="Q36" s="14" t="s">
        <v>157</v>
      </c>
      <c r="R36" s="14" t="s">
        <v>228</v>
      </c>
      <c r="S36" s="163" t="s">
        <v>531</v>
      </c>
      <c r="T36" s="51" t="s">
        <v>160</v>
      </c>
      <c r="U36" s="51" t="s">
        <v>160</v>
      </c>
      <c r="V36" s="51" t="s">
        <v>160</v>
      </c>
      <c r="W36" s="50" t="s">
        <v>160</v>
      </c>
      <c r="X36" s="50" t="s">
        <v>160</v>
      </c>
      <c r="Y36" s="50" t="s">
        <v>160</v>
      </c>
      <c r="Z36" s="50" t="s">
        <v>160</v>
      </c>
      <c r="AA36" s="52">
        <v>0</v>
      </c>
      <c r="AB36" s="52">
        <v>0</v>
      </c>
      <c r="AC36" s="52">
        <v>0</v>
      </c>
      <c r="AD36" s="14">
        <v>0</v>
      </c>
      <c r="AE36" s="57" t="s">
        <v>182</v>
      </c>
      <c r="AF36" s="54">
        <v>3</v>
      </c>
      <c r="AG36" s="14"/>
      <c r="AH36" s="14" t="str">
        <f t="shared" si="1"/>
        <v>Migrate</v>
      </c>
      <c r="AI36" s="50" t="s">
        <v>160</v>
      </c>
      <c r="AJ36" s="50" t="s">
        <v>160</v>
      </c>
      <c r="AK36" s="163" t="s">
        <v>163</v>
      </c>
      <c r="AL36" s="50" t="s">
        <v>160</v>
      </c>
      <c r="AM36" s="50" t="s">
        <v>160</v>
      </c>
      <c r="AN36" s="50" t="s">
        <v>160</v>
      </c>
      <c r="AO36" s="163" t="s">
        <v>530</v>
      </c>
      <c r="AP36" s="90" t="s">
        <v>500</v>
      </c>
      <c r="AQ36" s="38">
        <v>3</v>
      </c>
      <c r="AR36" s="37" t="s">
        <v>186</v>
      </c>
      <c r="AS36" s="37" t="s">
        <v>187</v>
      </c>
    </row>
    <row r="37" spans="1:45" ht="118.5" customHeight="1" x14ac:dyDescent="0.4">
      <c r="A37" s="18">
        <v>32</v>
      </c>
      <c r="B37" s="18"/>
      <c r="C37" s="18"/>
      <c r="D37" s="18"/>
      <c r="E37" s="19" t="s">
        <v>160</v>
      </c>
      <c r="F37" s="18" t="s">
        <v>532</v>
      </c>
      <c r="G37" s="163" t="s">
        <v>533</v>
      </c>
      <c r="H37" s="19" t="s">
        <v>160</v>
      </c>
      <c r="I37" s="19" t="s">
        <v>160</v>
      </c>
      <c r="J37" s="19" t="s">
        <v>160</v>
      </c>
      <c r="K37" s="20" t="s">
        <v>534</v>
      </c>
      <c r="L37" s="19" t="s">
        <v>160</v>
      </c>
      <c r="M37" s="19" t="s">
        <v>160</v>
      </c>
      <c r="N37" s="19" t="s">
        <v>160</v>
      </c>
      <c r="O37" s="19" t="s">
        <v>160</v>
      </c>
      <c r="P37" s="163" t="s">
        <v>281</v>
      </c>
      <c r="Q37" s="91" t="s">
        <v>243</v>
      </c>
      <c r="R37" s="91" t="s">
        <v>217</v>
      </c>
      <c r="S37" s="163" t="s">
        <v>535</v>
      </c>
      <c r="T37" s="51" t="s">
        <v>160</v>
      </c>
      <c r="U37" s="51" t="s">
        <v>160</v>
      </c>
      <c r="V37" s="51" t="s">
        <v>160</v>
      </c>
      <c r="W37" s="50" t="s">
        <v>160</v>
      </c>
      <c r="X37" s="50" t="s">
        <v>160</v>
      </c>
      <c r="Y37" s="50" t="s">
        <v>160</v>
      </c>
      <c r="Z37" s="14" t="s">
        <v>536</v>
      </c>
      <c r="AA37" s="52">
        <v>0</v>
      </c>
      <c r="AB37" s="52">
        <v>0</v>
      </c>
      <c r="AC37" s="52">
        <v>0</v>
      </c>
      <c r="AD37" s="14">
        <v>0</v>
      </c>
      <c r="AE37" s="57" t="s">
        <v>255</v>
      </c>
      <c r="AF37" s="54">
        <v>2</v>
      </c>
      <c r="AG37" s="55">
        <v>4</v>
      </c>
      <c r="AH37" s="14" t="str">
        <f t="shared" si="1"/>
        <v>Tolerate</v>
      </c>
      <c r="AI37" s="50" t="s">
        <v>160</v>
      </c>
      <c r="AJ37" s="50" t="s">
        <v>160</v>
      </c>
      <c r="AK37" s="163" t="s">
        <v>163</v>
      </c>
      <c r="AL37" s="50" t="s">
        <v>160</v>
      </c>
      <c r="AM37" s="50" t="s">
        <v>160</v>
      </c>
      <c r="AN37" s="50" t="s">
        <v>160</v>
      </c>
      <c r="AO37" s="163" t="s">
        <v>533</v>
      </c>
      <c r="AP37" s="92" t="s">
        <v>537</v>
      </c>
      <c r="AQ37" s="36">
        <v>2</v>
      </c>
      <c r="AR37" s="37" t="s">
        <v>186</v>
      </c>
      <c r="AS37" s="37" t="s">
        <v>187</v>
      </c>
    </row>
    <row r="38" spans="1:45" ht="30.75" customHeight="1" x14ac:dyDescent="0.4">
      <c r="A38" s="18">
        <v>33</v>
      </c>
      <c r="B38" s="18"/>
      <c r="C38" s="18"/>
      <c r="D38" s="18"/>
      <c r="E38" s="18" t="s">
        <v>538</v>
      </c>
      <c r="F38" s="149" t="s">
        <v>539</v>
      </c>
      <c r="G38" s="163" t="s">
        <v>540</v>
      </c>
      <c r="H38" s="163" t="s">
        <v>306</v>
      </c>
      <c r="I38" s="163" t="s">
        <v>541</v>
      </c>
      <c r="J38" s="19" t="s">
        <v>160</v>
      </c>
      <c r="K38" s="163" t="s">
        <v>542</v>
      </c>
      <c r="L38" s="163" t="s">
        <v>543</v>
      </c>
      <c r="M38" s="163" t="s">
        <v>543</v>
      </c>
      <c r="N38" s="163" t="s">
        <v>543</v>
      </c>
      <c r="O38" s="163" t="s">
        <v>543</v>
      </c>
      <c r="P38" s="163" t="s">
        <v>544</v>
      </c>
      <c r="Q38" s="91" t="s">
        <v>243</v>
      </c>
      <c r="R38" s="91" t="s">
        <v>228</v>
      </c>
      <c r="S38" s="163" t="s">
        <v>544</v>
      </c>
      <c r="T38" s="51" t="s">
        <v>160</v>
      </c>
      <c r="U38" s="51" t="s">
        <v>160</v>
      </c>
      <c r="V38" s="51" t="s">
        <v>160</v>
      </c>
      <c r="W38" s="50" t="s">
        <v>160</v>
      </c>
      <c r="X38" s="50" t="s">
        <v>160</v>
      </c>
      <c r="Y38" s="50" t="s">
        <v>160</v>
      </c>
      <c r="Z38" s="14" t="s">
        <v>545</v>
      </c>
      <c r="AA38" s="52">
        <v>0</v>
      </c>
      <c r="AB38" s="52">
        <v>0</v>
      </c>
      <c r="AC38" s="52">
        <v>0</v>
      </c>
      <c r="AD38" s="14">
        <v>0</v>
      </c>
      <c r="AE38" s="57" t="s">
        <v>278</v>
      </c>
      <c r="AF38" s="54">
        <v>4</v>
      </c>
      <c r="AG38" s="14"/>
      <c r="AH38" s="14" t="str">
        <f t="shared" si="1"/>
        <v>Migrate</v>
      </c>
      <c r="AI38" s="50" t="s">
        <v>160</v>
      </c>
      <c r="AJ38" s="50" t="s">
        <v>160</v>
      </c>
      <c r="AK38" s="163" t="s">
        <v>163</v>
      </c>
      <c r="AL38" s="50" t="s">
        <v>160</v>
      </c>
      <c r="AM38" s="50" t="s">
        <v>160</v>
      </c>
      <c r="AN38" s="50" t="s">
        <v>160</v>
      </c>
      <c r="AO38" s="163" t="s">
        <v>540</v>
      </c>
      <c r="AP38" s="92" t="s">
        <v>537</v>
      </c>
      <c r="AQ38" s="58">
        <v>4</v>
      </c>
      <c r="AR38" s="37" t="s">
        <v>186</v>
      </c>
      <c r="AS38" s="37" t="s">
        <v>187</v>
      </c>
    </row>
    <row r="39" spans="1:45" ht="60" customHeight="1" x14ac:dyDescent="0.4">
      <c r="A39" s="18">
        <v>34</v>
      </c>
      <c r="B39" s="18"/>
      <c r="C39" s="18"/>
      <c r="D39" s="18"/>
      <c r="E39" s="18" t="s">
        <v>546</v>
      </c>
      <c r="F39" s="149" t="s">
        <v>547</v>
      </c>
      <c r="G39" s="163" t="s">
        <v>548</v>
      </c>
      <c r="H39" s="19" t="s">
        <v>160</v>
      </c>
      <c r="I39" s="19" t="s">
        <v>160</v>
      </c>
      <c r="J39" s="19" t="s">
        <v>160</v>
      </c>
      <c r="K39" s="20" t="s">
        <v>549</v>
      </c>
      <c r="L39" s="163" t="s">
        <v>550</v>
      </c>
      <c r="M39" s="163" t="s">
        <v>551</v>
      </c>
      <c r="N39" s="19" t="s">
        <v>160</v>
      </c>
      <c r="O39" s="19" t="s">
        <v>160</v>
      </c>
      <c r="P39" s="163" t="s">
        <v>552</v>
      </c>
      <c r="Q39" s="91" t="s">
        <v>243</v>
      </c>
      <c r="R39" s="91" t="s">
        <v>228</v>
      </c>
      <c r="S39" s="163" t="s">
        <v>553</v>
      </c>
      <c r="T39" s="73" t="s">
        <v>554</v>
      </c>
      <c r="U39" s="51" t="s">
        <v>160</v>
      </c>
      <c r="V39" s="51" t="s">
        <v>160</v>
      </c>
      <c r="W39" s="50" t="s">
        <v>160</v>
      </c>
      <c r="X39" s="50" t="s">
        <v>160</v>
      </c>
      <c r="Y39" s="50" t="s">
        <v>160</v>
      </c>
      <c r="Z39" s="14" t="s">
        <v>555</v>
      </c>
      <c r="AA39" s="52">
        <v>0</v>
      </c>
      <c r="AB39" s="52">
        <v>0</v>
      </c>
      <c r="AC39" s="52">
        <v>0</v>
      </c>
      <c r="AD39" s="14">
        <v>0</v>
      </c>
      <c r="AE39" s="57" t="s">
        <v>278</v>
      </c>
      <c r="AF39" s="54">
        <v>4</v>
      </c>
      <c r="AG39" s="55">
        <v>4</v>
      </c>
      <c r="AH39" s="14" t="str">
        <f t="shared" si="1"/>
        <v>Invest</v>
      </c>
      <c r="AI39" s="50" t="s">
        <v>160</v>
      </c>
      <c r="AJ39" s="50" t="s">
        <v>160</v>
      </c>
      <c r="AK39" s="163" t="s">
        <v>163</v>
      </c>
      <c r="AL39" s="50" t="s">
        <v>160</v>
      </c>
      <c r="AM39" s="50" t="s">
        <v>160</v>
      </c>
      <c r="AN39" s="50" t="s">
        <v>160</v>
      </c>
      <c r="AO39" s="163" t="s">
        <v>548</v>
      </c>
      <c r="AP39" s="92" t="s">
        <v>537</v>
      </c>
      <c r="AQ39" s="58">
        <v>4</v>
      </c>
      <c r="AR39" s="37" t="s">
        <v>186</v>
      </c>
      <c r="AS39" s="37" t="s">
        <v>187</v>
      </c>
    </row>
    <row r="40" spans="1:45" ht="106.5" customHeight="1" x14ac:dyDescent="0.4">
      <c r="A40" s="18">
        <v>35</v>
      </c>
      <c r="B40" s="18"/>
      <c r="C40" s="18"/>
      <c r="D40" s="18"/>
      <c r="E40" s="19" t="s">
        <v>160</v>
      </c>
      <c r="F40" s="18" t="s">
        <v>556</v>
      </c>
      <c r="G40" s="163" t="s">
        <v>557</v>
      </c>
      <c r="H40" s="19" t="s">
        <v>160</v>
      </c>
      <c r="I40" s="19" t="s">
        <v>160</v>
      </c>
      <c r="J40" s="19" t="s">
        <v>160</v>
      </c>
      <c r="K40" s="20" t="s">
        <v>558</v>
      </c>
      <c r="L40" s="19" t="s">
        <v>160</v>
      </c>
      <c r="M40" s="19" t="s">
        <v>160</v>
      </c>
      <c r="N40" s="19" t="s">
        <v>160</v>
      </c>
      <c r="O40" s="19" t="s">
        <v>160</v>
      </c>
      <c r="P40" s="22" t="s">
        <v>552</v>
      </c>
      <c r="Q40" s="91" t="s">
        <v>243</v>
      </c>
      <c r="R40" s="91" t="s">
        <v>228</v>
      </c>
      <c r="S40" s="163" t="s">
        <v>559</v>
      </c>
      <c r="T40" s="51" t="s">
        <v>160</v>
      </c>
      <c r="U40" s="51" t="s">
        <v>160</v>
      </c>
      <c r="V40" s="51" t="s">
        <v>160</v>
      </c>
      <c r="W40" s="50" t="s">
        <v>160</v>
      </c>
      <c r="X40" s="50" t="s">
        <v>160</v>
      </c>
      <c r="Y40" s="50" t="s">
        <v>160</v>
      </c>
      <c r="Z40" s="14" t="s">
        <v>560</v>
      </c>
      <c r="AA40" s="52">
        <v>0</v>
      </c>
      <c r="AB40" s="52">
        <v>0</v>
      </c>
      <c r="AC40" s="52">
        <v>0</v>
      </c>
      <c r="AD40" s="14">
        <v>0</v>
      </c>
      <c r="AE40" s="57" t="s">
        <v>278</v>
      </c>
      <c r="AF40" s="54">
        <v>4</v>
      </c>
      <c r="AG40" s="14"/>
      <c r="AH40" s="14" t="str">
        <f t="shared" si="1"/>
        <v>Migrate</v>
      </c>
      <c r="AI40" s="50" t="s">
        <v>160</v>
      </c>
      <c r="AJ40" s="50" t="s">
        <v>160</v>
      </c>
      <c r="AK40" s="163" t="s">
        <v>163</v>
      </c>
      <c r="AL40" s="50" t="s">
        <v>160</v>
      </c>
      <c r="AM40" s="50" t="s">
        <v>160</v>
      </c>
      <c r="AN40" s="50" t="s">
        <v>160</v>
      </c>
      <c r="AO40" s="163" t="s">
        <v>557</v>
      </c>
      <c r="AP40" s="92" t="s">
        <v>537</v>
      </c>
      <c r="AQ40" s="58">
        <v>4</v>
      </c>
      <c r="AR40" s="37" t="s">
        <v>186</v>
      </c>
      <c r="AS40" s="37" t="s">
        <v>187</v>
      </c>
    </row>
    <row r="41" spans="1:45" ht="132.75" customHeight="1" x14ac:dyDescent="0.4">
      <c r="A41" s="18">
        <v>36</v>
      </c>
      <c r="B41" s="18" t="s">
        <v>145</v>
      </c>
      <c r="C41" s="18"/>
      <c r="D41" s="18"/>
      <c r="E41" s="18" t="s">
        <v>561</v>
      </c>
      <c r="F41" s="149" t="s">
        <v>562</v>
      </c>
      <c r="G41" s="163" t="s">
        <v>563</v>
      </c>
      <c r="H41" s="163" t="s">
        <v>294</v>
      </c>
      <c r="I41" s="163" t="s">
        <v>564</v>
      </c>
      <c r="J41" s="19" t="s">
        <v>565</v>
      </c>
      <c r="K41" s="20" t="s">
        <v>239</v>
      </c>
      <c r="L41" s="163" t="s">
        <v>566</v>
      </c>
      <c r="M41" s="74" t="s">
        <v>239</v>
      </c>
      <c r="N41" s="74" t="s">
        <v>567</v>
      </c>
      <c r="O41" s="74" t="s">
        <v>299</v>
      </c>
      <c r="P41" s="74" t="s">
        <v>568</v>
      </c>
      <c r="Q41" s="91" t="s">
        <v>275</v>
      </c>
      <c r="R41" s="91" t="s">
        <v>228</v>
      </c>
      <c r="S41" s="163" t="s">
        <v>568</v>
      </c>
      <c r="T41" s="76" t="s">
        <v>569</v>
      </c>
      <c r="U41" s="14" t="s">
        <v>570</v>
      </c>
      <c r="V41" s="14" t="s">
        <v>570</v>
      </c>
      <c r="W41" s="14" t="s">
        <v>342</v>
      </c>
      <c r="X41" s="50" t="s">
        <v>160</v>
      </c>
      <c r="Y41" s="14" t="s">
        <v>571</v>
      </c>
      <c r="Z41" s="50" t="s">
        <v>160</v>
      </c>
      <c r="AA41" s="52">
        <v>0</v>
      </c>
      <c r="AB41" s="52">
        <v>0</v>
      </c>
      <c r="AC41" s="52">
        <v>0</v>
      </c>
      <c r="AD41" s="52">
        <v>0</v>
      </c>
      <c r="AE41" s="57" t="s">
        <v>278</v>
      </c>
      <c r="AF41" s="54">
        <v>4</v>
      </c>
      <c r="AG41" s="14"/>
      <c r="AH41" s="14" t="str">
        <f t="shared" si="1"/>
        <v>Migrate</v>
      </c>
      <c r="AI41" s="71">
        <v>46251</v>
      </c>
      <c r="AJ41" s="71">
        <v>46616</v>
      </c>
      <c r="AK41" s="163" t="s">
        <v>163</v>
      </c>
      <c r="AL41" s="50">
        <v>2</v>
      </c>
      <c r="AM41" s="50" t="s">
        <v>164</v>
      </c>
      <c r="AN41" s="163" t="s">
        <v>572</v>
      </c>
      <c r="AO41" s="163" t="s">
        <v>573</v>
      </c>
      <c r="AP41" s="92" t="s">
        <v>537</v>
      </c>
      <c r="AQ41" s="58">
        <v>4</v>
      </c>
      <c r="AR41" s="37" t="s">
        <v>186</v>
      </c>
      <c r="AS41" s="37" t="s">
        <v>187</v>
      </c>
    </row>
    <row r="42" spans="1:45" ht="30.75" customHeight="1" x14ac:dyDescent="0.4">
      <c r="A42" s="18">
        <v>37</v>
      </c>
      <c r="B42" s="18" t="s">
        <v>145</v>
      </c>
      <c r="C42" s="18"/>
      <c r="D42" s="18"/>
      <c r="E42" s="19" t="s">
        <v>160</v>
      </c>
      <c r="F42" s="18" t="s">
        <v>574</v>
      </c>
      <c r="G42" s="163" t="s">
        <v>575</v>
      </c>
      <c r="H42" s="19" t="s">
        <v>160</v>
      </c>
      <c r="I42" s="19" t="s">
        <v>160</v>
      </c>
      <c r="J42" s="19" t="s">
        <v>160</v>
      </c>
      <c r="K42" s="20" t="s">
        <v>576</v>
      </c>
      <c r="L42" s="19" t="s">
        <v>160</v>
      </c>
      <c r="M42" s="19" t="s">
        <v>160</v>
      </c>
      <c r="N42" s="19" t="s">
        <v>160</v>
      </c>
      <c r="O42" s="19" t="s">
        <v>160</v>
      </c>
      <c r="P42" s="22" t="s">
        <v>574</v>
      </c>
      <c r="Q42" s="91" t="s">
        <v>243</v>
      </c>
      <c r="R42" s="91" t="s">
        <v>228</v>
      </c>
      <c r="S42" s="163" t="s">
        <v>577</v>
      </c>
      <c r="T42" s="51" t="s">
        <v>160</v>
      </c>
      <c r="U42" s="51" t="s">
        <v>160</v>
      </c>
      <c r="V42" s="51" t="s">
        <v>160</v>
      </c>
      <c r="W42" s="50" t="s">
        <v>160</v>
      </c>
      <c r="X42" s="50" t="s">
        <v>160</v>
      </c>
      <c r="Y42" s="50" t="s">
        <v>160</v>
      </c>
      <c r="Z42" s="50" t="s">
        <v>160</v>
      </c>
      <c r="AA42" s="52">
        <v>0</v>
      </c>
      <c r="AB42" s="52">
        <v>0</v>
      </c>
      <c r="AC42" s="52">
        <v>0</v>
      </c>
      <c r="AD42" s="14">
        <v>0</v>
      </c>
      <c r="AE42" s="57" t="s">
        <v>182</v>
      </c>
      <c r="AF42" s="54">
        <v>3</v>
      </c>
      <c r="AG42" s="14"/>
      <c r="AH42" s="14" t="str">
        <f t="shared" si="1"/>
        <v>Migrate</v>
      </c>
      <c r="AI42" s="50" t="s">
        <v>160</v>
      </c>
      <c r="AJ42" s="50" t="s">
        <v>160</v>
      </c>
      <c r="AK42" s="163" t="s">
        <v>163</v>
      </c>
      <c r="AL42" s="50" t="s">
        <v>160</v>
      </c>
      <c r="AM42" s="50" t="s">
        <v>160</v>
      </c>
      <c r="AN42" s="50" t="s">
        <v>160</v>
      </c>
      <c r="AO42" s="163" t="s">
        <v>575</v>
      </c>
      <c r="AP42" s="93" t="s">
        <v>578</v>
      </c>
      <c r="AQ42" s="38">
        <v>3</v>
      </c>
      <c r="AR42" s="37" t="s">
        <v>186</v>
      </c>
      <c r="AS42" s="37" t="s">
        <v>187</v>
      </c>
    </row>
    <row r="43" spans="1:45" ht="36" customHeight="1" x14ac:dyDescent="0.4">
      <c r="A43" s="162">
        <v>38</v>
      </c>
      <c r="B43" s="162"/>
      <c r="C43" s="18"/>
      <c r="D43" s="18"/>
      <c r="E43" s="162" t="s">
        <v>579</v>
      </c>
      <c r="F43" s="162" t="s">
        <v>580</v>
      </c>
      <c r="G43" s="163" t="s">
        <v>581</v>
      </c>
      <c r="H43" s="163" t="s">
        <v>306</v>
      </c>
      <c r="I43" s="163" t="s">
        <v>541</v>
      </c>
      <c r="J43" s="19" t="s">
        <v>582</v>
      </c>
      <c r="K43" s="20" t="s">
        <v>583</v>
      </c>
      <c r="L43" s="163" t="s">
        <v>584</v>
      </c>
      <c r="M43" s="137" t="s">
        <v>585</v>
      </c>
      <c r="N43" s="163" t="s">
        <v>586</v>
      </c>
      <c r="O43" s="163" t="s">
        <v>587</v>
      </c>
      <c r="P43" s="163" t="s">
        <v>580</v>
      </c>
      <c r="Q43" s="91" t="s">
        <v>243</v>
      </c>
      <c r="R43" s="91" t="s">
        <v>228</v>
      </c>
      <c r="S43" s="163" t="s">
        <v>588</v>
      </c>
      <c r="T43" s="73" t="s">
        <v>589</v>
      </c>
      <c r="U43" s="51" t="s">
        <v>160</v>
      </c>
      <c r="V43" s="51" t="s">
        <v>160</v>
      </c>
      <c r="W43" s="50" t="s">
        <v>160</v>
      </c>
      <c r="X43" s="50" t="s">
        <v>160</v>
      </c>
      <c r="Y43" s="50" t="s">
        <v>160</v>
      </c>
      <c r="Z43" s="50" t="s">
        <v>160</v>
      </c>
      <c r="AA43" s="52">
        <v>0</v>
      </c>
      <c r="AB43" s="52">
        <v>0</v>
      </c>
      <c r="AC43" s="52">
        <v>0</v>
      </c>
      <c r="AD43" s="14">
        <v>0</v>
      </c>
      <c r="AE43" s="73" t="s">
        <v>182</v>
      </c>
      <c r="AF43" s="54">
        <v>3</v>
      </c>
      <c r="AG43" s="14"/>
      <c r="AH43" s="14" t="str">
        <f t="shared" si="1"/>
        <v>Migrate</v>
      </c>
      <c r="AI43" s="50" t="s">
        <v>160</v>
      </c>
      <c r="AJ43" s="50" t="s">
        <v>160</v>
      </c>
      <c r="AK43" s="163" t="s">
        <v>163</v>
      </c>
      <c r="AL43" s="50" t="s">
        <v>160</v>
      </c>
      <c r="AM43" s="14" t="s">
        <v>164</v>
      </c>
      <c r="AN43" s="50" t="s">
        <v>160</v>
      </c>
      <c r="AO43" s="163" t="s">
        <v>581</v>
      </c>
      <c r="AP43" s="94" t="s">
        <v>578</v>
      </c>
      <c r="AQ43" s="95">
        <v>3</v>
      </c>
      <c r="AR43" s="37" t="s">
        <v>186</v>
      </c>
      <c r="AS43" s="37" t="s">
        <v>187</v>
      </c>
    </row>
    <row r="44" spans="1:45" ht="36" customHeight="1" x14ac:dyDescent="0.35">
      <c r="A44" s="133">
        <v>39</v>
      </c>
      <c r="B44" s="133" t="s">
        <v>145</v>
      </c>
      <c r="C44" s="18"/>
      <c r="D44" s="18"/>
      <c r="E44" s="162" t="s">
        <v>590</v>
      </c>
      <c r="F44" s="141" t="s">
        <v>591</v>
      </c>
      <c r="G44" s="163" t="s">
        <v>592</v>
      </c>
      <c r="H44" s="19" t="s">
        <v>160</v>
      </c>
      <c r="I44" s="19" t="s">
        <v>160</v>
      </c>
      <c r="J44" s="19" t="s">
        <v>582</v>
      </c>
      <c r="K44" s="20" t="s">
        <v>355</v>
      </c>
      <c r="L44" s="20" t="s">
        <v>355</v>
      </c>
      <c r="M44" s="163" t="s">
        <v>355</v>
      </c>
      <c r="N44" s="137" t="s">
        <v>593</v>
      </c>
      <c r="O44" s="137" t="s">
        <v>593</v>
      </c>
      <c r="P44" s="163" t="s">
        <v>594</v>
      </c>
      <c r="Q44" s="91" t="s">
        <v>243</v>
      </c>
      <c r="R44" s="91" t="s">
        <v>217</v>
      </c>
      <c r="S44" s="163" t="s">
        <v>594</v>
      </c>
      <c r="T44" s="51" t="s">
        <v>160</v>
      </c>
      <c r="U44" s="51" t="s">
        <v>160</v>
      </c>
      <c r="V44" s="51" t="s">
        <v>160</v>
      </c>
      <c r="W44" s="50" t="s">
        <v>160</v>
      </c>
      <c r="X44" s="50" t="s">
        <v>160</v>
      </c>
      <c r="Y44" s="50" t="s">
        <v>160</v>
      </c>
      <c r="Z44" s="50" t="s">
        <v>160</v>
      </c>
      <c r="AA44" s="52">
        <v>0</v>
      </c>
      <c r="AB44" s="52">
        <v>0</v>
      </c>
      <c r="AC44" s="52">
        <v>0</v>
      </c>
      <c r="AD44" s="14">
        <v>0</v>
      </c>
      <c r="AE44" s="73" t="s">
        <v>278</v>
      </c>
      <c r="AF44" s="54">
        <v>4</v>
      </c>
      <c r="AG44" s="14"/>
      <c r="AH44" s="14" t="str">
        <f t="shared" si="1"/>
        <v>Migrate</v>
      </c>
      <c r="AI44" s="50" t="s">
        <v>160</v>
      </c>
      <c r="AJ44" s="50" t="s">
        <v>160</v>
      </c>
      <c r="AK44" s="163" t="s">
        <v>595</v>
      </c>
      <c r="AL44" s="50" t="s">
        <v>596</v>
      </c>
      <c r="AM44" s="50" t="s">
        <v>160</v>
      </c>
      <c r="AN44" s="50" t="s">
        <v>160</v>
      </c>
      <c r="AO44" s="163" t="s">
        <v>592</v>
      </c>
      <c r="AP44" s="94" t="s">
        <v>578</v>
      </c>
      <c r="AQ44" s="96">
        <v>4</v>
      </c>
      <c r="AR44" s="32" t="s">
        <v>597</v>
      </c>
      <c r="AS44" s="160" t="s">
        <v>169</v>
      </c>
    </row>
    <row r="45" spans="1:45" ht="30.75" customHeight="1" x14ac:dyDescent="0.4">
      <c r="A45" s="18">
        <v>40</v>
      </c>
      <c r="B45" s="18"/>
      <c r="C45" s="18"/>
      <c r="D45" s="18"/>
      <c r="E45" s="19" t="s">
        <v>160</v>
      </c>
      <c r="F45" s="18" t="s">
        <v>598</v>
      </c>
      <c r="G45" s="163" t="s">
        <v>599</v>
      </c>
      <c r="H45" s="19" t="s">
        <v>160</v>
      </c>
      <c r="I45" s="19" t="s">
        <v>160</v>
      </c>
      <c r="J45" s="19" t="s">
        <v>160</v>
      </c>
      <c r="K45" s="20" t="s">
        <v>160</v>
      </c>
      <c r="L45" s="19" t="s">
        <v>160</v>
      </c>
      <c r="M45" s="19" t="s">
        <v>160</v>
      </c>
      <c r="N45" s="19" t="s">
        <v>160</v>
      </c>
      <c r="O45" s="19" t="s">
        <v>160</v>
      </c>
      <c r="P45" s="163" t="s">
        <v>600</v>
      </c>
      <c r="Q45" s="14" t="s">
        <v>243</v>
      </c>
      <c r="R45" s="91" t="s">
        <v>228</v>
      </c>
      <c r="S45" s="163" t="s">
        <v>600</v>
      </c>
      <c r="T45" s="51" t="s">
        <v>160</v>
      </c>
      <c r="U45" s="51" t="s">
        <v>160</v>
      </c>
      <c r="V45" s="51" t="s">
        <v>160</v>
      </c>
      <c r="W45" s="50" t="s">
        <v>160</v>
      </c>
      <c r="X45" s="50" t="s">
        <v>160</v>
      </c>
      <c r="Y45" s="50" t="s">
        <v>160</v>
      </c>
      <c r="Z45" s="50" t="s">
        <v>160</v>
      </c>
      <c r="AA45" s="52">
        <v>0</v>
      </c>
      <c r="AB45" s="52">
        <v>0</v>
      </c>
      <c r="AC45" s="52">
        <v>0</v>
      </c>
      <c r="AD45" s="14">
        <v>0</v>
      </c>
      <c r="AE45" s="57" t="s">
        <v>182</v>
      </c>
      <c r="AF45" s="54">
        <v>3</v>
      </c>
      <c r="AG45" s="14"/>
      <c r="AH45" s="14" t="str">
        <f t="shared" si="1"/>
        <v>Migrate</v>
      </c>
      <c r="AI45" s="50" t="s">
        <v>160</v>
      </c>
      <c r="AJ45" s="50" t="s">
        <v>160</v>
      </c>
      <c r="AK45" s="163" t="s">
        <v>163</v>
      </c>
      <c r="AL45" s="50" t="s">
        <v>160</v>
      </c>
      <c r="AM45" s="50" t="s">
        <v>160</v>
      </c>
      <c r="AN45" s="50" t="s">
        <v>160</v>
      </c>
      <c r="AO45" s="163" t="s">
        <v>599</v>
      </c>
      <c r="AP45" s="93" t="s">
        <v>578</v>
      </c>
      <c r="AQ45" s="38">
        <v>3</v>
      </c>
      <c r="AR45" s="32" t="s">
        <v>601</v>
      </c>
      <c r="AS45" s="42" t="s">
        <v>247</v>
      </c>
    </row>
    <row r="46" spans="1:45" ht="45.75" customHeight="1" x14ac:dyDescent="0.35">
      <c r="A46" s="133">
        <v>41</v>
      </c>
      <c r="B46" s="133" t="s">
        <v>145</v>
      </c>
      <c r="C46" s="18"/>
      <c r="D46" s="18"/>
      <c r="E46" s="162" t="s">
        <v>602</v>
      </c>
      <c r="F46" s="141" t="s">
        <v>603</v>
      </c>
      <c r="G46" s="163" t="s">
        <v>604</v>
      </c>
      <c r="H46" s="163" t="s">
        <v>605</v>
      </c>
      <c r="I46" s="163" t="s">
        <v>606</v>
      </c>
      <c r="J46" s="163" t="s">
        <v>607</v>
      </c>
      <c r="K46" s="137" t="s">
        <v>608</v>
      </c>
      <c r="L46" s="163" t="s">
        <v>609</v>
      </c>
      <c r="M46" s="137" t="s">
        <v>610</v>
      </c>
      <c r="N46" s="139" t="s">
        <v>611</v>
      </c>
      <c r="O46" s="139" t="s">
        <v>611</v>
      </c>
      <c r="P46" s="163" t="s">
        <v>612</v>
      </c>
      <c r="Q46" s="14" t="s">
        <v>157</v>
      </c>
      <c r="R46" s="91" t="s">
        <v>228</v>
      </c>
      <c r="S46" s="163" t="s">
        <v>613</v>
      </c>
      <c r="T46" s="51" t="s">
        <v>160</v>
      </c>
      <c r="U46" s="51" t="s">
        <v>160</v>
      </c>
      <c r="V46" s="51" t="s">
        <v>160</v>
      </c>
      <c r="W46" s="50" t="s">
        <v>160</v>
      </c>
      <c r="X46" s="50" t="s">
        <v>160</v>
      </c>
      <c r="Y46" s="50" t="s">
        <v>160</v>
      </c>
      <c r="Z46" s="50" t="s">
        <v>160</v>
      </c>
      <c r="AA46" s="52">
        <v>0</v>
      </c>
      <c r="AB46" s="52">
        <v>0</v>
      </c>
      <c r="AC46" s="52">
        <v>0</v>
      </c>
      <c r="AD46" s="14">
        <v>0</v>
      </c>
      <c r="AE46" s="73" t="s">
        <v>278</v>
      </c>
      <c r="AF46" s="54">
        <v>4</v>
      </c>
      <c r="AG46" s="14"/>
      <c r="AH46" s="14" t="str">
        <f t="shared" si="1"/>
        <v>Migrate</v>
      </c>
      <c r="AI46" s="50" t="s">
        <v>160</v>
      </c>
      <c r="AJ46" s="50" t="s">
        <v>160</v>
      </c>
      <c r="AK46" s="163" t="s">
        <v>614</v>
      </c>
      <c r="AL46" s="50" t="s">
        <v>615</v>
      </c>
      <c r="AM46" s="14" t="s">
        <v>164</v>
      </c>
      <c r="AN46" s="50" t="s">
        <v>160</v>
      </c>
      <c r="AO46" s="163" t="s">
        <v>604</v>
      </c>
      <c r="AP46" s="94" t="s">
        <v>578</v>
      </c>
      <c r="AQ46" s="96">
        <v>4</v>
      </c>
      <c r="AR46" s="32" t="s">
        <v>616</v>
      </c>
      <c r="AS46" s="160" t="s">
        <v>169</v>
      </c>
    </row>
    <row r="47" spans="1:45" ht="36" customHeight="1" x14ac:dyDescent="0.35">
      <c r="A47" s="18">
        <v>42</v>
      </c>
      <c r="B47" s="18"/>
      <c r="C47" s="18"/>
      <c r="D47" s="18"/>
      <c r="E47" s="18" t="s">
        <v>248</v>
      </c>
      <c r="F47" s="18" t="s">
        <v>617</v>
      </c>
      <c r="G47" s="163" t="s">
        <v>618</v>
      </c>
      <c r="H47" s="19" t="s">
        <v>160</v>
      </c>
      <c r="I47" s="19" t="s">
        <v>160</v>
      </c>
      <c r="J47" s="163" t="s">
        <v>251</v>
      </c>
      <c r="K47" s="20" t="s">
        <v>610</v>
      </c>
      <c r="L47" s="163" t="s">
        <v>610</v>
      </c>
      <c r="M47" s="163" t="s">
        <v>610</v>
      </c>
      <c r="N47" s="19" t="s">
        <v>160</v>
      </c>
      <c r="O47" s="19" t="s">
        <v>160</v>
      </c>
      <c r="P47" s="163" t="s">
        <v>619</v>
      </c>
      <c r="Q47" s="14" t="s">
        <v>243</v>
      </c>
      <c r="R47" s="91" t="s">
        <v>228</v>
      </c>
      <c r="S47" s="163" t="s">
        <v>619</v>
      </c>
      <c r="T47" s="51" t="s">
        <v>160</v>
      </c>
      <c r="U47" s="51" t="s">
        <v>160</v>
      </c>
      <c r="V47" s="51" t="s">
        <v>160</v>
      </c>
      <c r="W47" s="50" t="s">
        <v>160</v>
      </c>
      <c r="X47" s="50" t="s">
        <v>160</v>
      </c>
      <c r="Y47" s="50" t="s">
        <v>160</v>
      </c>
      <c r="Z47" s="50" t="s">
        <v>160</v>
      </c>
      <c r="AA47" s="52">
        <v>0</v>
      </c>
      <c r="AB47" s="52">
        <v>0</v>
      </c>
      <c r="AC47" s="52">
        <v>0</v>
      </c>
      <c r="AD47" s="14">
        <v>0</v>
      </c>
      <c r="AE47" s="57" t="s">
        <v>182</v>
      </c>
      <c r="AF47" s="54">
        <v>3</v>
      </c>
      <c r="AG47" s="14"/>
      <c r="AH47" s="14" t="str">
        <f t="shared" si="1"/>
        <v>Migrate</v>
      </c>
      <c r="AI47" s="50" t="s">
        <v>160</v>
      </c>
      <c r="AJ47" s="50" t="s">
        <v>160</v>
      </c>
      <c r="AK47" s="163" t="s">
        <v>163</v>
      </c>
      <c r="AL47" s="50" t="s">
        <v>160</v>
      </c>
      <c r="AM47" s="50" t="s">
        <v>160</v>
      </c>
      <c r="AN47" s="50" t="s">
        <v>160</v>
      </c>
      <c r="AO47" s="163" t="s">
        <v>620</v>
      </c>
      <c r="AP47" s="93" t="s">
        <v>578</v>
      </c>
      <c r="AQ47" s="38">
        <v>3</v>
      </c>
      <c r="AR47" s="32" t="s">
        <v>621</v>
      </c>
      <c r="AS47" s="160" t="s">
        <v>169</v>
      </c>
    </row>
    <row r="48" spans="1:45" ht="30.75" customHeight="1" x14ac:dyDescent="0.4">
      <c r="A48" s="18">
        <v>43</v>
      </c>
      <c r="B48" s="18" t="s">
        <v>145</v>
      </c>
      <c r="C48" s="18"/>
      <c r="D48" s="18"/>
      <c r="E48" s="18" t="s">
        <v>622</v>
      </c>
      <c r="F48" s="128" t="s">
        <v>623</v>
      </c>
      <c r="G48" s="163" t="s">
        <v>624</v>
      </c>
      <c r="H48" s="163" t="s">
        <v>625</v>
      </c>
      <c r="I48" s="163" t="s">
        <v>626</v>
      </c>
      <c r="J48" s="163" t="s">
        <v>551</v>
      </c>
      <c r="K48" s="20" t="s">
        <v>627</v>
      </c>
      <c r="L48" s="129" t="s">
        <v>628</v>
      </c>
      <c r="M48" s="163" t="s">
        <v>627</v>
      </c>
      <c r="N48" s="19" t="s">
        <v>629</v>
      </c>
      <c r="O48" s="19" t="s">
        <v>630</v>
      </c>
      <c r="P48" s="163" t="s">
        <v>631</v>
      </c>
      <c r="Q48" s="14" t="s">
        <v>243</v>
      </c>
      <c r="R48" s="91" t="s">
        <v>228</v>
      </c>
      <c r="S48" s="163" t="s">
        <v>632</v>
      </c>
      <c r="T48" s="51" t="s">
        <v>160</v>
      </c>
      <c r="U48" s="51" t="s">
        <v>160</v>
      </c>
      <c r="V48" s="51" t="s">
        <v>633</v>
      </c>
      <c r="W48" s="50" t="s">
        <v>160</v>
      </c>
      <c r="X48" s="50" t="s">
        <v>160</v>
      </c>
      <c r="Y48" s="50" t="s">
        <v>160</v>
      </c>
      <c r="Z48" s="50" t="s">
        <v>160</v>
      </c>
      <c r="AA48" s="52">
        <v>0</v>
      </c>
      <c r="AB48" s="52">
        <v>0</v>
      </c>
      <c r="AC48" s="52">
        <v>0</v>
      </c>
      <c r="AD48" s="14">
        <v>0</v>
      </c>
      <c r="AE48" s="14" t="s">
        <v>162</v>
      </c>
      <c r="AF48" s="54">
        <v>5</v>
      </c>
      <c r="AG48" s="14"/>
      <c r="AH48" s="14" t="str">
        <f t="shared" si="1"/>
        <v>Migrate</v>
      </c>
      <c r="AI48" s="50" t="s">
        <v>160</v>
      </c>
      <c r="AJ48" s="50" t="s">
        <v>160</v>
      </c>
      <c r="AK48" s="163" t="s">
        <v>163</v>
      </c>
      <c r="AL48" s="50" t="s">
        <v>634</v>
      </c>
      <c r="AM48" s="50" t="s">
        <v>160</v>
      </c>
      <c r="AN48" s="50" t="s">
        <v>160</v>
      </c>
      <c r="AO48" s="163" t="s">
        <v>624</v>
      </c>
      <c r="AP48" s="93" t="s">
        <v>578</v>
      </c>
      <c r="AQ48" s="31">
        <v>5</v>
      </c>
      <c r="AR48" s="32" t="s">
        <v>635</v>
      </c>
      <c r="AS48" s="42" t="s">
        <v>247</v>
      </c>
    </row>
    <row r="49" spans="1:45" ht="30.75" customHeight="1" x14ac:dyDescent="0.35">
      <c r="A49" s="133">
        <v>44</v>
      </c>
      <c r="B49" s="133" t="s">
        <v>145</v>
      </c>
      <c r="C49" s="18"/>
      <c r="D49" s="18"/>
      <c r="E49" s="18" t="s">
        <v>636</v>
      </c>
      <c r="F49" s="140" t="s">
        <v>637</v>
      </c>
      <c r="G49" s="163" t="s">
        <v>638</v>
      </c>
      <c r="H49" s="163" t="s">
        <v>625</v>
      </c>
      <c r="I49" s="163" t="s">
        <v>639</v>
      </c>
      <c r="J49" s="19" t="s">
        <v>640</v>
      </c>
      <c r="K49" s="20" t="s">
        <v>641</v>
      </c>
      <c r="L49" s="137" t="s">
        <v>642</v>
      </c>
      <c r="M49" s="137" t="s">
        <v>643</v>
      </c>
      <c r="N49" s="139" t="s">
        <v>611</v>
      </c>
      <c r="O49" s="139" t="s">
        <v>611</v>
      </c>
      <c r="P49" s="163" t="s">
        <v>466</v>
      </c>
      <c r="Q49" s="14" t="s">
        <v>243</v>
      </c>
      <c r="R49" s="91" t="s">
        <v>228</v>
      </c>
      <c r="S49" s="163" t="s">
        <v>644</v>
      </c>
      <c r="T49" s="51" t="s">
        <v>160</v>
      </c>
      <c r="U49" s="51" t="s">
        <v>160</v>
      </c>
      <c r="V49" s="51" t="s">
        <v>645</v>
      </c>
      <c r="W49" s="50" t="s">
        <v>160</v>
      </c>
      <c r="X49" s="50" t="s">
        <v>160</v>
      </c>
      <c r="Y49" s="50" t="s">
        <v>160</v>
      </c>
      <c r="Z49" s="50" t="s">
        <v>160</v>
      </c>
      <c r="AA49" s="52">
        <v>0</v>
      </c>
      <c r="AB49" s="52">
        <v>0</v>
      </c>
      <c r="AC49" s="52">
        <v>0</v>
      </c>
      <c r="AD49" s="14">
        <v>0</v>
      </c>
      <c r="AE49" s="57" t="s">
        <v>278</v>
      </c>
      <c r="AF49" s="54">
        <v>4</v>
      </c>
      <c r="AG49" s="14"/>
      <c r="AH49" s="14" t="str">
        <f t="shared" si="1"/>
        <v>Migrate</v>
      </c>
      <c r="AI49" s="50" t="s">
        <v>160</v>
      </c>
      <c r="AJ49" s="50" t="s">
        <v>160</v>
      </c>
      <c r="AK49" s="163" t="s">
        <v>163</v>
      </c>
      <c r="AL49" s="50" t="s">
        <v>646</v>
      </c>
      <c r="AM49" s="50" t="s">
        <v>160</v>
      </c>
      <c r="AN49" s="50" t="s">
        <v>160</v>
      </c>
      <c r="AO49" s="163" t="s">
        <v>638</v>
      </c>
      <c r="AP49" s="93" t="s">
        <v>578</v>
      </c>
      <c r="AQ49" s="58">
        <v>4</v>
      </c>
      <c r="AR49" s="32" t="s">
        <v>635</v>
      </c>
      <c r="AS49" s="160" t="s">
        <v>169</v>
      </c>
    </row>
    <row r="50" spans="1:45" ht="30.75" customHeight="1" x14ac:dyDescent="0.4">
      <c r="A50" s="133">
        <v>45</v>
      </c>
      <c r="B50" s="133" t="s">
        <v>145</v>
      </c>
      <c r="C50" s="18"/>
      <c r="D50" s="18"/>
      <c r="E50" s="162" t="s">
        <v>647</v>
      </c>
      <c r="F50" s="141" t="s">
        <v>648</v>
      </c>
      <c r="G50" s="163" t="s">
        <v>649</v>
      </c>
      <c r="H50" s="19" t="s">
        <v>160</v>
      </c>
      <c r="I50" s="19" t="s">
        <v>160</v>
      </c>
      <c r="J50" s="19" t="s">
        <v>582</v>
      </c>
      <c r="K50" s="20" t="s">
        <v>650</v>
      </c>
      <c r="L50" s="137" t="s">
        <v>651</v>
      </c>
      <c r="M50" s="137" t="s">
        <v>651</v>
      </c>
      <c r="N50" s="137" t="s">
        <v>652</v>
      </c>
      <c r="O50" s="137" t="s">
        <v>652</v>
      </c>
      <c r="P50" s="163" t="s">
        <v>653</v>
      </c>
      <c r="Q50" s="14" t="s">
        <v>243</v>
      </c>
      <c r="R50" s="91" t="s">
        <v>228</v>
      </c>
      <c r="S50" s="163" t="s">
        <v>654</v>
      </c>
      <c r="T50" s="51" t="s">
        <v>160</v>
      </c>
      <c r="U50" s="51" t="s">
        <v>160</v>
      </c>
      <c r="V50" s="51" t="s">
        <v>160</v>
      </c>
      <c r="W50" s="50" t="s">
        <v>160</v>
      </c>
      <c r="X50" s="50" t="s">
        <v>160</v>
      </c>
      <c r="Y50" s="50" t="s">
        <v>160</v>
      </c>
      <c r="Z50" s="50" t="s">
        <v>160</v>
      </c>
      <c r="AA50" s="52">
        <v>0</v>
      </c>
      <c r="AB50" s="52">
        <v>0</v>
      </c>
      <c r="AC50" s="52">
        <v>0</v>
      </c>
      <c r="AD50" s="14">
        <v>0</v>
      </c>
      <c r="AE50" s="163" t="s">
        <v>162</v>
      </c>
      <c r="AF50" s="54">
        <v>5</v>
      </c>
      <c r="AG50" s="14"/>
      <c r="AH50" s="14" t="str">
        <f t="shared" si="1"/>
        <v>Migrate</v>
      </c>
      <c r="AI50" s="50" t="s">
        <v>160</v>
      </c>
      <c r="AJ50" s="50" t="s">
        <v>160</v>
      </c>
      <c r="AK50" s="163" t="s">
        <v>163</v>
      </c>
      <c r="AL50" s="50" t="s">
        <v>655</v>
      </c>
      <c r="AM50" s="14" t="s">
        <v>164</v>
      </c>
      <c r="AN50" s="50" t="s">
        <v>160</v>
      </c>
      <c r="AO50" s="163" t="s">
        <v>649</v>
      </c>
      <c r="AP50" s="94" t="s">
        <v>578</v>
      </c>
      <c r="AQ50" s="97">
        <v>5</v>
      </c>
      <c r="AR50" s="32" t="s">
        <v>656</v>
      </c>
      <c r="AS50" s="42" t="s">
        <v>247</v>
      </c>
    </row>
    <row r="51" spans="1:45" ht="24" customHeight="1" x14ac:dyDescent="0.4">
      <c r="A51" s="18">
        <v>46</v>
      </c>
      <c r="B51" s="18" t="s">
        <v>145</v>
      </c>
      <c r="C51" s="18"/>
      <c r="D51" s="18"/>
      <c r="E51" s="19" t="s">
        <v>160</v>
      </c>
      <c r="F51" s="142" t="s">
        <v>657</v>
      </c>
      <c r="G51" s="163" t="s">
        <v>658</v>
      </c>
      <c r="H51" s="19" t="s">
        <v>160</v>
      </c>
      <c r="I51" s="19" t="s">
        <v>160</v>
      </c>
      <c r="J51" s="19" t="s">
        <v>160</v>
      </c>
      <c r="K51" s="19" t="s">
        <v>659</v>
      </c>
      <c r="L51" s="163" t="s">
        <v>660</v>
      </c>
      <c r="M51" s="163" t="s">
        <v>660</v>
      </c>
      <c r="N51" s="19" t="s">
        <v>659</v>
      </c>
      <c r="O51" s="19" t="s">
        <v>659</v>
      </c>
      <c r="P51" s="163" t="s">
        <v>657</v>
      </c>
      <c r="Q51" s="14" t="s">
        <v>275</v>
      </c>
      <c r="R51" s="91" t="s">
        <v>228</v>
      </c>
      <c r="S51" s="163" t="s">
        <v>661</v>
      </c>
      <c r="T51" s="51" t="s">
        <v>160</v>
      </c>
      <c r="U51" s="51" t="s">
        <v>160</v>
      </c>
      <c r="V51" s="51" t="s">
        <v>160</v>
      </c>
      <c r="W51" s="50" t="s">
        <v>160</v>
      </c>
      <c r="X51" s="50" t="s">
        <v>160</v>
      </c>
      <c r="Y51" s="50" t="s">
        <v>160</v>
      </c>
      <c r="Z51" s="50" t="s">
        <v>160</v>
      </c>
      <c r="AA51" s="52">
        <v>0</v>
      </c>
      <c r="AB51" s="52">
        <v>0</v>
      </c>
      <c r="AC51" s="52">
        <v>0</v>
      </c>
      <c r="AD51" s="14">
        <v>0</v>
      </c>
      <c r="AE51" s="163" t="s">
        <v>162</v>
      </c>
      <c r="AF51" s="54">
        <v>5</v>
      </c>
      <c r="AG51" s="14"/>
      <c r="AH51" s="14" t="str">
        <f t="shared" si="1"/>
        <v>Migrate</v>
      </c>
      <c r="AI51" s="50" t="s">
        <v>160</v>
      </c>
      <c r="AJ51" s="50" t="s">
        <v>160</v>
      </c>
      <c r="AK51" s="163" t="s">
        <v>163</v>
      </c>
      <c r="AL51" s="50" t="s">
        <v>662</v>
      </c>
      <c r="AM51" s="50" t="s">
        <v>160</v>
      </c>
      <c r="AN51" s="50" t="s">
        <v>160</v>
      </c>
      <c r="AO51" s="163" t="s">
        <v>658</v>
      </c>
      <c r="AP51" s="93" t="s">
        <v>578</v>
      </c>
      <c r="AQ51" s="31">
        <v>5</v>
      </c>
      <c r="AR51" s="32" t="s">
        <v>663</v>
      </c>
      <c r="AS51" s="42" t="s">
        <v>247</v>
      </c>
    </row>
    <row r="52" spans="1:45" ht="30.75" customHeight="1" x14ac:dyDescent="0.35">
      <c r="A52" s="18">
        <v>47</v>
      </c>
      <c r="B52" s="18" t="s">
        <v>145</v>
      </c>
      <c r="C52" s="18"/>
      <c r="D52" s="18"/>
      <c r="E52" s="162" t="s">
        <v>561</v>
      </c>
      <c r="F52" s="128" t="s">
        <v>664</v>
      </c>
      <c r="G52" s="163" t="s">
        <v>665</v>
      </c>
      <c r="H52" s="163" t="s">
        <v>294</v>
      </c>
      <c r="I52" s="163" t="s">
        <v>564</v>
      </c>
      <c r="J52" s="19" t="s">
        <v>666</v>
      </c>
      <c r="K52" s="20" t="s">
        <v>667</v>
      </c>
      <c r="L52" s="132" t="s">
        <v>668</v>
      </c>
      <c r="M52" s="163" t="s">
        <v>239</v>
      </c>
      <c r="N52" s="163" t="s">
        <v>567</v>
      </c>
      <c r="O52" s="163" t="s">
        <v>299</v>
      </c>
      <c r="P52" s="163" t="s">
        <v>664</v>
      </c>
      <c r="Q52" s="14" t="s">
        <v>243</v>
      </c>
      <c r="R52" s="14" t="s">
        <v>228</v>
      </c>
      <c r="S52" s="163" t="s">
        <v>669</v>
      </c>
      <c r="T52" s="73" t="s">
        <v>569</v>
      </c>
      <c r="U52" s="51" t="s">
        <v>160</v>
      </c>
      <c r="V52" s="51" t="s">
        <v>160</v>
      </c>
      <c r="W52" s="50" t="s">
        <v>160</v>
      </c>
      <c r="X52" s="50" t="s">
        <v>160</v>
      </c>
      <c r="Y52" s="50" t="s">
        <v>160</v>
      </c>
      <c r="Z52" s="50" t="s">
        <v>670</v>
      </c>
      <c r="AA52" s="52">
        <v>0</v>
      </c>
      <c r="AB52" s="52">
        <v>0</v>
      </c>
      <c r="AC52" s="52">
        <v>0</v>
      </c>
      <c r="AD52" s="14">
        <v>0</v>
      </c>
      <c r="AE52" s="163" t="s">
        <v>162</v>
      </c>
      <c r="AF52" s="54">
        <v>5</v>
      </c>
      <c r="AG52" s="14"/>
      <c r="AH52" s="14" t="str">
        <f t="shared" si="1"/>
        <v>Migrate</v>
      </c>
      <c r="AI52" s="50" t="s">
        <v>160</v>
      </c>
      <c r="AJ52" s="50" t="s">
        <v>160</v>
      </c>
      <c r="AK52" s="163" t="s">
        <v>163</v>
      </c>
      <c r="AL52" s="50" t="s">
        <v>160</v>
      </c>
      <c r="AM52" s="50" t="s">
        <v>160</v>
      </c>
      <c r="AN52" s="50" t="s">
        <v>160</v>
      </c>
      <c r="AO52" s="163" t="s">
        <v>671</v>
      </c>
      <c r="AP52" s="93" t="s">
        <v>578</v>
      </c>
      <c r="AQ52" s="31">
        <v>5</v>
      </c>
      <c r="AR52" s="32" t="s">
        <v>672</v>
      </c>
      <c r="AS52" s="160" t="s">
        <v>169</v>
      </c>
    </row>
    <row r="53" spans="1:45" ht="30.75" customHeight="1" x14ac:dyDescent="0.4">
      <c r="A53" s="18">
        <v>48</v>
      </c>
      <c r="B53" s="18"/>
      <c r="C53" s="18"/>
      <c r="D53" s="18"/>
      <c r="E53" s="162" t="s">
        <v>673</v>
      </c>
      <c r="F53" s="18" t="s">
        <v>674</v>
      </c>
      <c r="G53" s="163" t="s">
        <v>675</v>
      </c>
      <c r="H53" s="163" t="s">
        <v>676</v>
      </c>
      <c r="I53" s="163" t="s">
        <v>677</v>
      </c>
      <c r="J53" s="19" t="s">
        <v>678</v>
      </c>
      <c r="K53" s="20" t="s">
        <v>679</v>
      </c>
      <c r="L53" s="163" t="s">
        <v>680</v>
      </c>
      <c r="M53" s="163" t="s">
        <v>681</v>
      </c>
      <c r="N53" s="163" t="s">
        <v>682</v>
      </c>
      <c r="O53" s="163" t="s">
        <v>241</v>
      </c>
      <c r="P53" s="163" t="s">
        <v>281</v>
      </c>
      <c r="Q53" s="14" t="s">
        <v>243</v>
      </c>
      <c r="R53" s="91" t="s">
        <v>228</v>
      </c>
      <c r="S53" s="163" t="s">
        <v>683</v>
      </c>
      <c r="T53" s="51" t="s">
        <v>160</v>
      </c>
      <c r="U53" s="51" t="s">
        <v>160</v>
      </c>
      <c r="V53" s="51" t="s">
        <v>160</v>
      </c>
      <c r="W53" s="50" t="s">
        <v>160</v>
      </c>
      <c r="X53" s="50" t="s">
        <v>160</v>
      </c>
      <c r="Y53" s="50" t="s">
        <v>160</v>
      </c>
      <c r="Z53" s="50" t="s">
        <v>160</v>
      </c>
      <c r="AA53" s="52">
        <v>0</v>
      </c>
      <c r="AB53" s="52">
        <v>0</v>
      </c>
      <c r="AC53" s="52">
        <v>0</v>
      </c>
      <c r="AD53" s="14">
        <v>0</v>
      </c>
      <c r="AE53" s="73" t="s">
        <v>182</v>
      </c>
      <c r="AF53" s="54">
        <v>3</v>
      </c>
      <c r="AG53" s="14"/>
      <c r="AH53" s="14" t="str">
        <f t="shared" si="1"/>
        <v>Migrate</v>
      </c>
      <c r="AI53" s="50" t="s">
        <v>160</v>
      </c>
      <c r="AJ53" s="50" t="s">
        <v>160</v>
      </c>
      <c r="AK53" s="163" t="s">
        <v>163</v>
      </c>
      <c r="AL53" s="50" t="s">
        <v>160</v>
      </c>
      <c r="AM53" s="50" t="s">
        <v>160</v>
      </c>
      <c r="AN53" s="50" t="s">
        <v>160</v>
      </c>
      <c r="AO53" s="163" t="s">
        <v>675</v>
      </c>
      <c r="AP53" s="93" t="s">
        <v>578</v>
      </c>
      <c r="AQ53" s="38">
        <v>3</v>
      </c>
      <c r="AR53" s="37" t="s">
        <v>186</v>
      </c>
      <c r="AS53" s="37" t="s">
        <v>187</v>
      </c>
    </row>
    <row r="54" spans="1:45" ht="30.75" customHeight="1" x14ac:dyDescent="0.35">
      <c r="A54" s="18">
        <v>49</v>
      </c>
      <c r="B54" s="18" t="s">
        <v>145</v>
      </c>
      <c r="C54" s="18"/>
      <c r="D54" s="18"/>
      <c r="E54" s="18" t="s">
        <v>684</v>
      </c>
      <c r="F54" s="142" t="s">
        <v>685</v>
      </c>
      <c r="G54" s="163" t="s">
        <v>686</v>
      </c>
      <c r="H54" s="163" t="s">
        <v>687</v>
      </c>
      <c r="I54" s="163" t="s">
        <v>688</v>
      </c>
      <c r="J54" s="19" t="s">
        <v>689</v>
      </c>
      <c r="K54" s="20" t="s">
        <v>690</v>
      </c>
      <c r="L54" s="131" t="s">
        <v>691</v>
      </c>
      <c r="M54" s="163" t="s">
        <v>690</v>
      </c>
      <c r="N54" s="19" t="s">
        <v>692</v>
      </c>
      <c r="O54" s="19" t="s">
        <v>692</v>
      </c>
      <c r="P54" s="163" t="s">
        <v>693</v>
      </c>
      <c r="Q54" s="14" t="s">
        <v>157</v>
      </c>
      <c r="R54" s="50" t="s">
        <v>160</v>
      </c>
      <c r="S54" s="163" t="s">
        <v>693</v>
      </c>
      <c r="T54" s="51" t="s">
        <v>160</v>
      </c>
      <c r="U54" s="51" t="s">
        <v>160</v>
      </c>
      <c r="V54" s="51" t="s">
        <v>160</v>
      </c>
      <c r="W54" s="50" t="s">
        <v>160</v>
      </c>
      <c r="X54" s="50" t="s">
        <v>160</v>
      </c>
      <c r="Y54" s="50" t="s">
        <v>160</v>
      </c>
      <c r="Z54" s="50" t="s">
        <v>160</v>
      </c>
      <c r="AA54" s="52">
        <v>0</v>
      </c>
      <c r="AB54" s="52">
        <v>0</v>
      </c>
      <c r="AC54" s="52">
        <v>0</v>
      </c>
      <c r="AD54" s="14">
        <v>0</v>
      </c>
      <c r="AE54" s="163" t="s">
        <v>162</v>
      </c>
      <c r="AF54" s="54">
        <v>5</v>
      </c>
      <c r="AG54" s="14"/>
      <c r="AH54" s="14" t="str">
        <f t="shared" si="1"/>
        <v>Migrate</v>
      </c>
      <c r="AI54" s="50" t="s">
        <v>160</v>
      </c>
      <c r="AJ54" s="50" t="s">
        <v>160</v>
      </c>
      <c r="AK54" s="163" t="s">
        <v>163</v>
      </c>
      <c r="AL54" s="50" t="s">
        <v>694</v>
      </c>
      <c r="AM54" s="50" t="s">
        <v>160</v>
      </c>
      <c r="AN54" s="50" t="s">
        <v>160</v>
      </c>
      <c r="AO54" s="163" t="s">
        <v>695</v>
      </c>
      <c r="AP54" s="93" t="s">
        <v>578</v>
      </c>
      <c r="AQ54" s="31">
        <v>5</v>
      </c>
      <c r="AR54" s="32" t="s">
        <v>696</v>
      </c>
      <c r="AS54" s="160" t="s">
        <v>169</v>
      </c>
    </row>
    <row r="55" spans="1:45" ht="30.75" customHeight="1" x14ac:dyDescent="0.35">
      <c r="A55" s="18">
        <v>50</v>
      </c>
      <c r="B55" s="18"/>
      <c r="C55" s="18"/>
      <c r="D55" s="18"/>
      <c r="E55" s="18"/>
      <c r="F55" s="20" t="s">
        <v>697</v>
      </c>
      <c r="G55" s="20"/>
      <c r="H55" s="163"/>
      <c r="I55" s="163"/>
      <c r="J55" s="19"/>
      <c r="K55" s="20"/>
      <c r="L55" s="20"/>
      <c r="M55" s="163"/>
      <c r="N55" s="19"/>
      <c r="O55" s="19"/>
      <c r="P55" s="163"/>
      <c r="Q55" s="14"/>
      <c r="R55" s="50"/>
      <c r="S55" s="163"/>
      <c r="T55" s="51" t="s">
        <v>160</v>
      </c>
      <c r="U55" s="51" t="s">
        <v>160</v>
      </c>
      <c r="V55" s="51" t="s">
        <v>160</v>
      </c>
      <c r="W55" s="50" t="s">
        <v>160</v>
      </c>
      <c r="X55" s="50" t="s">
        <v>160</v>
      </c>
      <c r="Y55" s="50" t="s">
        <v>160</v>
      </c>
      <c r="Z55" s="50" t="s">
        <v>160</v>
      </c>
      <c r="AA55" s="52">
        <v>0</v>
      </c>
      <c r="AB55" s="52">
        <v>0</v>
      </c>
      <c r="AC55" s="52">
        <v>0</v>
      </c>
      <c r="AE55" s="163" t="s">
        <v>162</v>
      </c>
      <c r="AF55" s="54"/>
      <c r="AG55" s="14"/>
      <c r="AH55" s="14" t="str">
        <f t="shared" si="1"/>
        <v>Eliminate</v>
      </c>
      <c r="AI55" s="50" t="s">
        <v>160</v>
      </c>
      <c r="AJ55" s="50" t="s">
        <v>160</v>
      </c>
      <c r="AK55" s="163" t="s">
        <v>163</v>
      </c>
      <c r="AL55" s="50" t="s">
        <v>160</v>
      </c>
      <c r="AM55" s="50" t="s">
        <v>160</v>
      </c>
      <c r="AN55" s="50" t="s">
        <v>160</v>
      </c>
      <c r="AO55" s="163"/>
      <c r="AP55" s="93"/>
      <c r="AQ55" s="170"/>
      <c r="AR55" s="32"/>
    </row>
    <row r="56" spans="1:45" ht="24" customHeight="1" x14ac:dyDescent="0.4">
      <c r="A56" s="133">
        <v>51</v>
      </c>
      <c r="B56" s="133"/>
      <c r="C56" s="133"/>
      <c r="D56" s="133"/>
      <c r="E56" s="18"/>
      <c r="F56" s="140" t="s">
        <v>698</v>
      </c>
      <c r="G56" s="163" t="s">
        <v>543</v>
      </c>
      <c r="H56" s="163"/>
      <c r="I56" s="163"/>
      <c r="J56" s="163"/>
      <c r="K56" s="20" t="s">
        <v>173</v>
      </c>
      <c r="L56" s="163" t="s">
        <v>699</v>
      </c>
      <c r="M56" s="129" t="s">
        <v>174</v>
      </c>
      <c r="N56" s="129" t="s">
        <v>174</v>
      </c>
      <c r="O56" s="129" t="s">
        <v>174</v>
      </c>
      <c r="P56" s="163"/>
      <c r="S56" s="163"/>
      <c r="T56" s="51" t="s">
        <v>160</v>
      </c>
      <c r="U56" s="51" t="s">
        <v>160</v>
      </c>
      <c r="V56" s="51" t="s">
        <v>160</v>
      </c>
      <c r="W56" s="50" t="s">
        <v>160</v>
      </c>
      <c r="X56" s="50" t="s">
        <v>160</v>
      </c>
      <c r="Y56" s="50" t="s">
        <v>160</v>
      </c>
      <c r="Z56" s="50" t="s">
        <v>160</v>
      </c>
      <c r="AA56" s="52">
        <v>0</v>
      </c>
      <c r="AB56" s="52">
        <v>0</v>
      </c>
      <c r="AC56" s="52">
        <v>0</v>
      </c>
      <c r="AE56" s="163" t="s">
        <v>162</v>
      </c>
      <c r="AF56" s="54"/>
      <c r="AG56" s="14"/>
      <c r="AH56" s="14" t="str">
        <f t="shared" si="1"/>
        <v>Eliminate</v>
      </c>
      <c r="AI56" s="50" t="s">
        <v>160</v>
      </c>
      <c r="AJ56" s="50" t="s">
        <v>160</v>
      </c>
      <c r="AK56" s="163" t="s">
        <v>163</v>
      </c>
      <c r="AL56" s="50" t="s">
        <v>160</v>
      </c>
      <c r="AM56" s="50" t="s">
        <v>160</v>
      </c>
      <c r="AN56" s="50" t="s">
        <v>160</v>
      </c>
      <c r="AO56" s="163" t="s">
        <v>700</v>
      </c>
      <c r="AP56" s="124" t="s">
        <v>167</v>
      </c>
      <c r="AR56" t="s">
        <v>701</v>
      </c>
      <c r="AS56" t="s">
        <v>247</v>
      </c>
    </row>
    <row r="57" spans="1:45" ht="24" customHeight="1" x14ac:dyDescent="0.4">
      <c r="A57" s="18">
        <v>52</v>
      </c>
      <c r="B57" s="18" t="s">
        <v>145</v>
      </c>
      <c r="C57" s="18"/>
      <c r="D57" s="18"/>
      <c r="E57" s="18"/>
      <c r="F57" s="18" t="s">
        <v>702</v>
      </c>
      <c r="G57" s="163"/>
      <c r="H57" s="163"/>
      <c r="I57" s="163"/>
      <c r="J57" s="163"/>
      <c r="K57" s="163"/>
      <c r="L57" s="163"/>
      <c r="M57" s="163"/>
      <c r="N57" s="163"/>
      <c r="O57" s="163"/>
      <c r="P57" s="163"/>
      <c r="S57" s="163"/>
      <c r="T57" s="51" t="s">
        <v>160</v>
      </c>
      <c r="U57" s="51" t="s">
        <v>160</v>
      </c>
      <c r="V57" s="51" t="s">
        <v>160</v>
      </c>
      <c r="W57" s="50" t="s">
        <v>160</v>
      </c>
      <c r="X57" s="50" t="s">
        <v>160</v>
      </c>
      <c r="Y57" s="50" t="s">
        <v>160</v>
      </c>
      <c r="Z57" s="50" t="s">
        <v>160</v>
      </c>
      <c r="AA57" s="52">
        <v>0</v>
      </c>
      <c r="AB57" s="52">
        <v>0</v>
      </c>
      <c r="AC57" s="52">
        <v>0</v>
      </c>
      <c r="AE57" s="163" t="s">
        <v>162</v>
      </c>
      <c r="AF57" s="54"/>
      <c r="AG57" s="14"/>
      <c r="AH57" s="14" t="str">
        <f t="shared" si="1"/>
        <v>Eliminate</v>
      </c>
      <c r="AI57" s="50" t="s">
        <v>160</v>
      </c>
      <c r="AJ57" s="50" t="s">
        <v>160</v>
      </c>
      <c r="AK57" s="163" t="s">
        <v>163</v>
      </c>
      <c r="AL57" s="50" t="s">
        <v>160</v>
      </c>
      <c r="AM57" s="50" t="s">
        <v>160</v>
      </c>
      <c r="AN57" s="50" t="s">
        <v>160</v>
      </c>
      <c r="AO57" s="163"/>
      <c r="AP57" s="124"/>
      <c r="AR57" t="s">
        <v>703</v>
      </c>
      <c r="AS57" t="s">
        <v>187</v>
      </c>
    </row>
    <row r="58" spans="1:45" ht="24" customHeight="1" x14ac:dyDescent="0.4">
      <c r="A58" s="18">
        <v>53</v>
      </c>
      <c r="B58" s="18"/>
      <c r="C58" s="18"/>
      <c r="D58" s="18"/>
      <c r="E58" s="18"/>
      <c r="F58" s="18" t="s">
        <v>704</v>
      </c>
      <c r="G58" s="163"/>
      <c r="H58" s="163"/>
      <c r="I58" s="163"/>
      <c r="J58" s="163"/>
      <c r="K58" s="163"/>
      <c r="L58" s="163"/>
      <c r="M58" s="163"/>
      <c r="N58" s="163"/>
      <c r="O58" s="163"/>
      <c r="P58" s="163"/>
      <c r="S58" s="163"/>
      <c r="T58" s="51" t="s">
        <v>160</v>
      </c>
      <c r="U58" s="51" t="s">
        <v>160</v>
      </c>
      <c r="V58" s="51" t="s">
        <v>160</v>
      </c>
      <c r="W58" s="50" t="s">
        <v>160</v>
      </c>
      <c r="X58" s="50" t="s">
        <v>160</v>
      </c>
      <c r="Y58" s="50" t="s">
        <v>160</v>
      </c>
      <c r="Z58" s="50" t="s">
        <v>160</v>
      </c>
      <c r="AA58" s="52">
        <v>0</v>
      </c>
      <c r="AB58" s="52">
        <v>0</v>
      </c>
      <c r="AC58" s="52">
        <v>0</v>
      </c>
      <c r="AE58" s="163" t="s">
        <v>162</v>
      </c>
      <c r="AF58" s="54"/>
      <c r="AG58" s="14"/>
      <c r="AH58" s="14" t="str">
        <f t="shared" si="1"/>
        <v>Eliminate</v>
      </c>
      <c r="AI58" s="50" t="s">
        <v>160</v>
      </c>
      <c r="AJ58" s="50" t="s">
        <v>160</v>
      </c>
      <c r="AK58" s="163" t="s">
        <v>163</v>
      </c>
      <c r="AL58" s="50" t="s">
        <v>160</v>
      </c>
      <c r="AM58" s="50" t="s">
        <v>160</v>
      </c>
      <c r="AN58" s="50" t="s">
        <v>160</v>
      </c>
      <c r="AO58" s="163"/>
      <c r="AP58" s="124" t="s">
        <v>167</v>
      </c>
      <c r="AR58" t="s">
        <v>703</v>
      </c>
      <c r="AS58" t="s">
        <v>187</v>
      </c>
    </row>
    <row r="59" spans="1:45" ht="24" customHeight="1" x14ac:dyDescent="0.4">
      <c r="A59" s="18">
        <v>54</v>
      </c>
      <c r="B59" s="18"/>
      <c r="C59" s="18"/>
      <c r="D59" s="18"/>
      <c r="E59" s="18"/>
      <c r="F59" s="18" t="s">
        <v>705</v>
      </c>
      <c r="G59" s="163"/>
      <c r="H59" s="163"/>
      <c r="I59" s="163"/>
      <c r="J59" s="163"/>
      <c r="K59" s="163"/>
      <c r="L59" s="163"/>
      <c r="M59" s="163"/>
      <c r="N59" s="163"/>
      <c r="O59" s="163"/>
      <c r="P59" s="163"/>
      <c r="S59" s="163"/>
      <c r="T59" s="51" t="s">
        <v>160</v>
      </c>
      <c r="U59" s="51" t="s">
        <v>160</v>
      </c>
      <c r="V59" s="51" t="s">
        <v>160</v>
      </c>
      <c r="W59" s="50" t="s">
        <v>160</v>
      </c>
      <c r="X59" s="50" t="s">
        <v>160</v>
      </c>
      <c r="Y59" s="50" t="s">
        <v>160</v>
      </c>
      <c r="Z59" s="50" t="s">
        <v>160</v>
      </c>
      <c r="AA59" s="52">
        <v>0</v>
      </c>
      <c r="AB59" s="52">
        <v>0</v>
      </c>
      <c r="AC59" s="52">
        <v>0</v>
      </c>
      <c r="AE59" s="163" t="s">
        <v>162</v>
      </c>
      <c r="AF59" s="54"/>
      <c r="AG59" s="14"/>
      <c r="AH59" s="14" t="str">
        <f t="shared" si="1"/>
        <v>Eliminate</v>
      </c>
      <c r="AI59" s="50" t="s">
        <v>160</v>
      </c>
      <c r="AJ59" s="50" t="s">
        <v>160</v>
      </c>
      <c r="AK59" s="163" t="s">
        <v>163</v>
      </c>
      <c r="AL59" s="50" t="s">
        <v>160</v>
      </c>
      <c r="AM59" s="50" t="s">
        <v>160</v>
      </c>
      <c r="AN59" s="50" t="s">
        <v>160</v>
      </c>
      <c r="AO59" s="163"/>
      <c r="AP59" s="124" t="s">
        <v>167</v>
      </c>
      <c r="AR59" t="s">
        <v>703</v>
      </c>
      <c r="AS59" t="s">
        <v>187</v>
      </c>
    </row>
    <row r="60" spans="1:45" ht="24" customHeight="1" x14ac:dyDescent="0.4">
      <c r="A60" s="18">
        <v>55</v>
      </c>
      <c r="B60" s="18"/>
      <c r="C60" s="18"/>
      <c r="D60" s="18"/>
      <c r="E60" s="18"/>
      <c r="F60" s="18" t="s">
        <v>706</v>
      </c>
      <c r="G60" s="163"/>
      <c r="H60" s="163"/>
      <c r="I60" s="163"/>
      <c r="J60" s="163"/>
      <c r="K60" s="163"/>
      <c r="L60" s="163"/>
      <c r="M60" s="163"/>
      <c r="N60" s="163"/>
      <c r="O60" s="163"/>
      <c r="P60" s="163"/>
      <c r="S60" s="163"/>
      <c r="T60" s="51" t="s">
        <v>160</v>
      </c>
      <c r="U60" s="51" t="s">
        <v>160</v>
      </c>
      <c r="V60" s="51" t="s">
        <v>160</v>
      </c>
      <c r="W60" s="50" t="s">
        <v>160</v>
      </c>
      <c r="X60" s="50" t="s">
        <v>160</v>
      </c>
      <c r="Y60" s="50" t="s">
        <v>160</v>
      </c>
      <c r="Z60" s="50" t="s">
        <v>160</v>
      </c>
      <c r="AA60" s="52">
        <v>0</v>
      </c>
      <c r="AB60" s="52">
        <v>0</v>
      </c>
      <c r="AC60" s="52">
        <v>0</v>
      </c>
      <c r="AE60" s="163" t="s">
        <v>162</v>
      </c>
      <c r="AF60" s="54"/>
      <c r="AG60" s="14"/>
      <c r="AH60" s="14" t="str">
        <f t="shared" si="1"/>
        <v>Eliminate</v>
      </c>
      <c r="AI60" s="50" t="s">
        <v>160</v>
      </c>
      <c r="AJ60" s="50" t="s">
        <v>160</v>
      </c>
      <c r="AK60" s="163" t="s">
        <v>163</v>
      </c>
      <c r="AL60" s="50" t="s">
        <v>160</v>
      </c>
      <c r="AM60" s="50" t="s">
        <v>160</v>
      </c>
      <c r="AN60" s="50" t="s">
        <v>160</v>
      </c>
      <c r="AO60" s="163" t="s">
        <v>707</v>
      </c>
      <c r="AP60" s="124" t="s">
        <v>167</v>
      </c>
      <c r="AR60" t="s">
        <v>708</v>
      </c>
      <c r="AS60" t="s">
        <v>247</v>
      </c>
    </row>
    <row r="61" spans="1:45" ht="24" customHeight="1" x14ac:dyDescent="0.4">
      <c r="A61" s="18">
        <v>56</v>
      </c>
      <c r="B61" s="18"/>
      <c r="C61" s="18"/>
      <c r="D61" s="18"/>
      <c r="E61" s="18"/>
      <c r="F61" s="18" t="s">
        <v>709</v>
      </c>
      <c r="G61" s="163"/>
      <c r="H61" s="163"/>
      <c r="I61" s="163"/>
      <c r="J61" s="163"/>
      <c r="K61" s="163"/>
      <c r="L61" s="163"/>
      <c r="M61" s="163"/>
      <c r="N61" s="163"/>
      <c r="O61" s="163"/>
      <c r="P61" s="163"/>
      <c r="S61" s="163"/>
      <c r="T61" s="51" t="s">
        <v>160</v>
      </c>
      <c r="U61" s="51" t="s">
        <v>160</v>
      </c>
      <c r="V61" s="51" t="s">
        <v>160</v>
      </c>
      <c r="W61" s="50" t="s">
        <v>160</v>
      </c>
      <c r="X61" s="50" t="s">
        <v>160</v>
      </c>
      <c r="Y61" s="50" t="s">
        <v>160</v>
      </c>
      <c r="Z61" s="50" t="s">
        <v>160</v>
      </c>
      <c r="AA61" s="52">
        <v>0</v>
      </c>
      <c r="AB61" s="52">
        <v>0</v>
      </c>
      <c r="AC61" s="52">
        <v>0</v>
      </c>
      <c r="AE61" s="163" t="s">
        <v>162</v>
      </c>
      <c r="AF61" s="54"/>
      <c r="AG61" s="14"/>
      <c r="AH61" s="14" t="str">
        <f t="shared" si="1"/>
        <v>Eliminate</v>
      </c>
      <c r="AI61" s="50" t="s">
        <v>160</v>
      </c>
      <c r="AJ61" s="50" t="s">
        <v>160</v>
      </c>
      <c r="AK61" s="163" t="s">
        <v>163</v>
      </c>
      <c r="AL61" s="50" t="s">
        <v>160</v>
      </c>
      <c r="AM61" s="50" t="s">
        <v>160</v>
      </c>
      <c r="AN61" s="50" t="s">
        <v>160</v>
      </c>
      <c r="AO61" s="163"/>
      <c r="AP61" s="124" t="s">
        <v>167</v>
      </c>
      <c r="AR61" t="s">
        <v>703</v>
      </c>
      <c r="AS61" t="s">
        <v>187</v>
      </c>
    </row>
    <row r="62" spans="1:45" ht="24" customHeight="1" x14ac:dyDescent="0.4">
      <c r="A62" s="18">
        <v>57</v>
      </c>
      <c r="B62" s="18"/>
      <c r="C62" s="18"/>
      <c r="D62" s="18"/>
      <c r="E62" s="18"/>
      <c r="F62" s="18" t="s">
        <v>710</v>
      </c>
      <c r="G62" s="163"/>
      <c r="H62" s="163"/>
      <c r="I62" s="163"/>
      <c r="J62" s="163"/>
      <c r="K62" s="163"/>
      <c r="L62" s="163"/>
      <c r="M62" s="163"/>
      <c r="N62" s="163"/>
      <c r="O62" s="163"/>
      <c r="P62" s="163"/>
      <c r="S62" s="163"/>
      <c r="T62" s="51" t="s">
        <v>160</v>
      </c>
      <c r="U62" s="51" t="s">
        <v>160</v>
      </c>
      <c r="V62" s="51" t="s">
        <v>160</v>
      </c>
      <c r="W62" s="50" t="s">
        <v>160</v>
      </c>
      <c r="X62" s="50" t="s">
        <v>160</v>
      </c>
      <c r="Y62" s="50" t="s">
        <v>160</v>
      </c>
      <c r="Z62" s="50" t="s">
        <v>160</v>
      </c>
      <c r="AA62" s="52">
        <v>0</v>
      </c>
      <c r="AB62" s="52">
        <v>0</v>
      </c>
      <c r="AC62" s="52">
        <v>0</v>
      </c>
      <c r="AE62" s="163" t="s">
        <v>162</v>
      </c>
      <c r="AF62" s="54"/>
      <c r="AG62" s="14"/>
      <c r="AH62" s="14" t="str">
        <f t="shared" si="1"/>
        <v>Eliminate</v>
      </c>
      <c r="AI62" s="50" t="s">
        <v>160</v>
      </c>
      <c r="AJ62" s="50" t="s">
        <v>160</v>
      </c>
      <c r="AK62" s="163" t="s">
        <v>163</v>
      </c>
      <c r="AL62" s="50" t="s">
        <v>160</v>
      </c>
      <c r="AM62" s="50" t="s">
        <v>160</v>
      </c>
      <c r="AN62" s="50" t="s">
        <v>160</v>
      </c>
      <c r="AO62" s="163" t="s">
        <v>711</v>
      </c>
      <c r="AP62" s="124" t="s">
        <v>167</v>
      </c>
      <c r="AR62" t="s">
        <v>712</v>
      </c>
      <c r="AS62" t="s">
        <v>247</v>
      </c>
    </row>
    <row r="63" spans="1:45" ht="24" customHeight="1" x14ac:dyDescent="0.4">
      <c r="A63" s="18">
        <v>58</v>
      </c>
      <c r="B63" s="18"/>
      <c r="C63" s="18"/>
      <c r="D63" s="18"/>
      <c r="E63" s="18"/>
      <c r="F63" s="18" t="s">
        <v>713</v>
      </c>
      <c r="G63" s="163"/>
      <c r="H63" s="163"/>
      <c r="I63" s="163"/>
      <c r="J63" s="163"/>
      <c r="K63" s="163"/>
      <c r="L63" s="163"/>
      <c r="M63" s="163"/>
      <c r="N63" s="163"/>
      <c r="O63" s="163"/>
      <c r="P63" s="163"/>
      <c r="S63" s="163"/>
      <c r="T63" s="51" t="s">
        <v>160</v>
      </c>
      <c r="U63" s="51" t="s">
        <v>160</v>
      </c>
      <c r="V63" s="51" t="s">
        <v>160</v>
      </c>
      <c r="W63" s="50" t="s">
        <v>160</v>
      </c>
      <c r="X63" s="50" t="s">
        <v>160</v>
      </c>
      <c r="Y63" s="50" t="s">
        <v>160</v>
      </c>
      <c r="Z63" s="50" t="s">
        <v>160</v>
      </c>
      <c r="AA63" s="52">
        <v>0</v>
      </c>
      <c r="AB63" s="52">
        <v>0</v>
      </c>
      <c r="AC63" s="52">
        <v>0</v>
      </c>
      <c r="AE63" s="163" t="s">
        <v>162</v>
      </c>
      <c r="AF63" s="54"/>
      <c r="AG63" s="14"/>
      <c r="AH63" s="14" t="str">
        <f t="shared" si="1"/>
        <v>Eliminate</v>
      </c>
      <c r="AI63" s="50" t="s">
        <v>160</v>
      </c>
      <c r="AJ63" s="50" t="s">
        <v>160</v>
      </c>
      <c r="AK63" s="163" t="s">
        <v>163</v>
      </c>
      <c r="AL63" s="50" t="s">
        <v>160</v>
      </c>
      <c r="AM63" s="50" t="s">
        <v>160</v>
      </c>
      <c r="AN63" s="50" t="s">
        <v>160</v>
      </c>
      <c r="AO63" s="163"/>
      <c r="AP63" s="124" t="s">
        <v>167</v>
      </c>
      <c r="AR63" t="s">
        <v>703</v>
      </c>
      <c r="AS63" t="s">
        <v>187</v>
      </c>
    </row>
    <row r="64" spans="1:45" ht="24" customHeight="1" x14ac:dyDescent="0.4">
      <c r="A64" s="18">
        <v>59</v>
      </c>
      <c r="B64" s="18"/>
      <c r="C64" s="18"/>
      <c r="D64" s="18"/>
      <c r="E64" s="18"/>
      <c r="F64" s="127" t="s">
        <v>714</v>
      </c>
      <c r="G64" s="163"/>
      <c r="H64" s="163"/>
      <c r="I64" s="163"/>
      <c r="J64" s="163"/>
      <c r="K64" s="163"/>
      <c r="L64" s="163"/>
      <c r="M64" s="163"/>
      <c r="N64" s="163"/>
      <c r="O64" s="163"/>
      <c r="P64" s="163"/>
      <c r="S64" s="163"/>
      <c r="T64" s="51" t="s">
        <v>160</v>
      </c>
      <c r="U64" s="51" t="s">
        <v>160</v>
      </c>
      <c r="V64" s="51" t="s">
        <v>160</v>
      </c>
      <c r="W64" s="50" t="s">
        <v>160</v>
      </c>
      <c r="X64" s="50" t="s">
        <v>160</v>
      </c>
      <c r="Y64" s="50" t="s">
        <v>160</v>
      </c>
      <c r="Z64" s="50" t="s">
        <v>160</v>
      </c>
      <c r="AA64" s="52">
        <v>0</v>
      </c>
      <c r="AB64" s="52">
        <v>0</v>
      </c>
      <c r="AC64" s="52">
        <v>0</v>
      </c>
      <c r="AE64" s="163" t="s">
        <v>162</v>
      </c>
      <c r="AF64" s="54"/>
      <c r="AG64" s="14"/>
      <c r="AH64" s="14" t="str">
        <f t="shared" si="1"/>
        <v>Eliminate</v>
      </c>
      <c r="AI64" s="50" t="s">
        <v>160</v>
      </c>
      <c r="AJ64" s="50" t="s">
        <v>160</v>
      </c>
      <c r="AK64" s="163" t="s">
        <v>163</v>
      </c>
      <c r="AL64" s="50" t="s">
        <v>160</v>
      </c>
      <c r="AM64" s="50" t="s">
        <v>160</v>
      </c>
      <c r="AN64" s="50" t="s">
        <v>160</v>
      </c>
      <c r="AO64" s="163"/>
      <c r="AP64" s="125" t="s">
        <v>715</v>
      </c>
      <c r="AR64" t="s">
        <v>703</v>
      </c>
      <c r="AS64" t="s">
        <v>187</v>
      </c>
    </row>
    <row r="65" spans="1:45" ht="24" customHeight="1" x14ac:dyDescent="0.4">
      <c r="A65" s="18">
        <v>60</v>
      </c>
      <c r="B65" s="18"/>
      <c r="C65" s="18"/>
      <c r="D65" s="18"/>
      <c r="E65" s="18"/>
      <c r="F65" s="127" t="s">
        <v>716</v>
      </c>
      <c r="G65" s="163"/>
      <c r="H65" s="163"/>
      <c r="I65" s="163"/>
      <c r="J65" s="163"/>
      <c r="K65" s="163"/>
      <c r="L65" s="163"/>
      <c r="M65" s="163"/>
      <c r="N65" s="163"/>
      <c r="O65" s="163"/>
      <c r="P65" s="163"/>
      <c r="S65" s="163"/>
      <c r="T65" s="51" t="s">
        <v>160</v>
      </c>
      <c r="U65" s="51" t="s">
        <v>160</v>
      </c>
      <c r="V65" s="51" t="s">
        <v>160</v>
      </c>
      <c r="W65" s="50" t="s">
        <v>160</v>
      </c>
      <c r="X65" s="50" t="s">
        <v>160</v>
      </c>
      <c r="Y65" s="50" t="s">
        <v>160</v>
      </c>
      <c r="Z65" s="50" t="s">
        <v>160</v>
      </c>
      <c r="AA65" s="52">
        <v>0</v>
      </c>
      <c r="AB65" s="52">
        <v>0</v>
      </c>
      <c r="AC65" s="52">
        <v>0</v>
      </c>
      <c r="AE65" s="163" t="s">
        <v>162</v>
      </c>
      <c r="AF65" s="54"/>
      <c r="AG65" s="14"/>
      <c r="AH65" s="14" t="str">
        <f t="shared" si="1"/>
        <v>Eliminate</v>
      </c>
      <c r="AI65" s="50" t="s">
        <v>160</v>
      </c>
      <c r="AJ65" s="50" t="s">
        <v>160</v>
      </c>
      <c r="AK65" s="163" t="s">
        <v>163</v>
      </c>
      <c r="AL65" s="50" t="s">
        <v>160</v>
      </c>
      <c r="AM65" s="50" t="s">
        <v>160</v>
      </c>
      <c r="AN65" s="50" t="s">
        <v>160</v>
      </c>
      <c r="AO65" s="163"/>
      <c r="AP65" s="125" t="s">
        <v>715</v>
      </c>
      <c r="AR65" t="s">
        <v>703</v>
      </c>
      <c r="AS65" t="s">
        <v>187</v>
      </c>
    </row>
    <row r="66" spans="1:45" ht="24" customHeight="1" x14ac:dyDescent="0.4">
      <c r="A66" s="18">
        <v>61</v>
      </c>
      <c r="B66" s="18"/>
      <c r="C66" s="18"/>
      <c r="D66" s="18"/>
      <c r="E66" s="18"/>
      <c r="F66" s="127" t="s">
        <v>717</v>
      </c>
      <c r="G66" s="163"/>
      <c r="H66" s="163"/>
      <c r="I66" s="163"/>
      <c r="J66" s="163"/>
      <c r="K66" s="163"/>
      <c r="L66" s="163"/>
      <c r="M66" s="163"/>
      <c r="N66" s="163"/>
      <c r="O66" s="163"/>
      <c r="P66" s="163"/>
      <c r="S66" s="163"/>
      <c r="T66" s="51" t="s">
        <v>160</v>
      </c>
      <c r="U66" s="51" t="s">
        <v>160</v>
      </c>
      <c r="V66" s="51" t="s">
        <v>160</v>
      </c>
      <c r="W66" s="50" t="s">
        <v>160</v>
      </c>
      <c r="X66" s="50" t="s">
        <v>160</v>
      </c>
      <c r="Y66" s="50" t="s">
        <v>160</v>
      </c>
      <c r="Z66" s="50" t="s">
        <v>160</v>
      </c>
      <c r="AA66" s="52">
        <v>0</v>
      </c>
      <c r="AB66" s="52">
        <v>0</v>
      </c>
      <c r="AC66" s="52">
        <v>0</v>
      </c>
      <c r="AE66" s="163" t="s">
        <v>162</v>
      </c>
      <c r="AF66" s="54"/>
      <c r="AG66" s="14"/>
      <c r="AH66" s="14" t="str">
        <f t="shared" si="1"/>
        <v>Eliminate</v>
      </c>
      <c r="AI66" s="50" t="s">
        <v>160</v>
      </c>
      <c r="AJ66" s="50" t="s">
        <v>160</v>
      </c>
      <c r="AK66" s="163" t="s">
        <v>163</v>
      </c>
      <c r="AL66" s="50" t="s">
        <v>160</v>
      </c>
      <c r="AM66" s="50" t="s">
        <v>160</v>
      </c>
      <c r="AN66" s="50" t="s">
        <v>160</v>
      </c>
      <c r="AO66" s="163"/>
      <c r="AP66" s="125" t="s">
        <v>715</v>
      </c>
      <c r="AR66" t="s">
        <v>703</v>
      </c>
      <c r="AS66" t="s">
        <v>187</v>
      </c>
    </row>
    <row r="67" spans="1:45" ht="24" customHeight="1" x14ac:dyDescent="0.4">
      <c r="A67" s="18">
        <v>62</v>
      </c>
      <c r="B67" s="18"/>
      <c r="C67" s="18"/>
      <c r="D67" s="18"/>
      <c r="E67" s="18"/>
      <c r="F67" s="18" t="s">
        <v>718</v>
      </c>
      <c r="G67" s="163"/>
      <c r="H67" s="163"/>
      <c r="I67" s="163"/>
      <c r="J67" s="163"/>
      <c r="K67" s="163"/>
      <c r="L67" s="163"/>
      <c r="M67" s="163"/>
      <c r="N67" s="163"/>
      <c r="O67" s="163"/>
      <c r="P67" s="163"/>
      <c r="S67" s="163"/>
      <c r="T67" s="51" t="s">
        <v>160</v>
      </c>
      <c r="U67" s="51" t="s">
        <v>160</v>
      </c>
      <c r="V67" s="51" t="s">
        <v>160</v>
      </c>
      <c r="W67" s="50" t="s">
        <v>160</v>
      </c>
      <c r="X67" s="50" t="s">
        <v>160</v>
      </c>
      <c r="Y67" s="50" t="s">
        <v>160</v>
      </c>
      <c r="Z67" s="50" t="s">
        <v>160</v>
      </c>
      <c r="AA67" s="52">
        <v>0</v>
      </c>
      <c r="AB67" s="52">
        <v>0</v>
      </c>
      <c r="AC67" s="52">
        <v>0</v>
      </c>
      <c r="AE67" s="163" t="s">
        <v>162</v>
      </c>
      <c r="AF67" s="54"/>
      <c r="AG67" s="14"/>
      <c r="AH67" s="14" t="str">
        <f t="shared" si="1"/>
        <v>Eliminate</v>
      </c>
      <c r="AI67" s="50" t="s">
        <v>160</v>
      </c>
      <c r="AJ67" s="50" t="s">
        <v>160</v>
      </c>
      <c r="AK67" s="163" t="s">
        <v>163</v>
      </c>
      <c r="AL67" s="50" t="s">
        <v>160</v>
      </c>
      <c r="AM67" s="50" t="s">
        <v>160</v>
      </c>
      <c r="AN67" s="50" t="s">
        <v>160</v>
      </c>
      <c r="AO67" s="163"/>
      <c r="AP67" s="126"/>
      <c r="AR67" t="s">
        <v>703</v>
      </c>
      <c r="AS67" t="s">
        <v>187</v>
      </c>
    </row>
    <row r="68" spans="1:45" ht="24" customHeight="1" x14ac:dyDescent="0.4">
      <c r="A68" s="18">
        <v>63</v>
      </c>
      <c r="B68" s="18"/>
      <c r="C68" s="18"/>
      <c r="D68" s="18"/>
      <c r="E68" s="18"/>
      <c r="F68" s="18" t="s">
        <v>719</v>
      </c>
      <c r="G68" s="163" t="s">
        <v>720</v>
      </c>
      <c r="H68" s="163"/>
      <c r="I68" s="163"/>
      <c r="J68" s="163"/>
      <c r="K68" s="163"/>
      <c r="L68" s="163"/>
      <c r="M68" s="163"/>
      <c r="N68" s="163"/>
      <c r="O68" s="163"/>
      <c r="P68" s="163"/>
      <c r="S68" s="163" t="s">
        <v>721</v>
      </c>
      <c r="T68" s="51" t="s">
        <v>160</v>
      </c>
      <c r="U68" s="51" t="s">
        <v>722</v>
      </c>
      <c r="V68" s="51" t="s">
        <v>160</v>
      </c>
      <c r="W68" s="50" t="s">
        <v>160</v>
      </c>
      <c r="X68" s="50" t="s">
        <v>160</v>
      </c>
      <c r="Y68" s="50" t="s">
        <v>160</v>
      </c>
      <c r="Z68" s="50" t="s">
        <v>160</v>
      </c>
      <c r="AA68" s="52">
        <v>0</v>
      </c>
      <c r="AB68" s="52">
        <v>0</v>
      </c>
      <c r="AC68" s="52">
        <v>0</v>
      </c>
      <c r="AE68" s="163" t="s">
        <v>162</v>
      </c>
      <c r="AF68" s="54"/>
      <c r="AG68" s="14"/>
      <c r="AH68" s="14" t="str">
        <f t="shared" si="1"/>
        <v>Eliminate</v>
      </c>
      <c r="AI68" s="50" t="s">
        <v>160</v>
      </c>
      <c r="AJ68" s="50" t="s">
        <v>160</v>
      </c>
      <c r="AK68" s="163" t="s">
        <v>163</v>
      </c>
      <c r="AL68" s="50" t="s">
        <v>723</v>
      </c>
      <c r="AM68" s="50" t="s">
        <v>160</v>
      </c>
      <c r="AN68" s="50" t="s">
        <v>160</v>
      </c>
      <c r="AO68" s="163" t="s">
        <v>724</v>
      </c>
      <c r="AR68" t="s">
        <v>725</v>
      </c>
      <c r="AS68" t="s">
        <v>247</v>
      </c>
    </row>
    <row r="69" spans="1:45" ht="24" customHeight="1" x14ac:dyDescent="0.4">
      <c r="A69" s="18">
        <v>64</v>
      </c>
      <c r="B69" s="18"/>
      <c r="C69" s="18"/>
      <c r="D69" s="18"/>
      <c r="E69" s="18"/>
      <c r="F69" s="18" t="s">
        <v>726</v>
      </c>
      <c r="G69" s="163"/>
      <c r="H69" s="163"/>
      <c r="I69" s="163"/>
      <c r="J69" s="163" t="s">
        <v>727</v>
      </c>
      <c r="K69" s="163"/>
      <c r="L69" s="163"/>
      <c r="M69" s="163"/>
      <c r="N69" s="163"/>
      <c r="O69" s="163"/>
      <c r="P69" s="163"/>
      <c r="S69" s="163"/>
      <c r="T69" s="51" t="s">
        <v>160</v>
      </c>
      <c r="U69" s="51" t="s">
        <v>160</v>
      </c>
      <c r="V69" s="51" t="s">
        <v>160</v>
      </c>
      <c r="W69" s="50" t="s">
        <v>160</v>
      </c>
      <c r="X69" s="50" t="s">
        <v>160</v>
      </c>
      <c r="Y69" s="50" t="s">
        <v>160</v>
      </c>
      <c r="Z69" s="50" t="s">
        <v>160</v>
      </c>
      <c r="AA69" s="52">
        <v>0</v>
      </c>
      <c r="AB69" s="52">
        <v>0</v>
      </c>
      <c r="AC69" s="52">
        <v>0</v>
      </c>
      <c r="AE69" s="163" t="s">
        <v>162</v>
      </c>
      <c r="AF69" s="54"/>
      <c r="AG69" s="14"/>
      <c r="AH69" s="14" t="str">
        <f t="shared" si="1"/>
        <v>Eliminate</v>
      </c>
      <c r="AI69" s="50" t="s">
        <v>160</v>
      </c>
      <c r="AJ69" s="50" t="s">
        <v>160</v>
      </c>
      <c r="AK69" s="163" t="s">
        <v>163</v>
      </c>
      <c r="AL69" s="50" t="s">
        <v>160</v>
      </c>
      <c r="AM69" s="50" t="s">
        <v>160</v>
      </c>
      <c r="AN69" s="50" t="s">
        <v>160</v>
      </c>
      <c r="AO69" s="163" t="s">
        <v>728</v>
      </c>
      <c r="AR69" t="s">
        <v>729</v>
      </c>
      <c r="AS69" t="s">
        <v>247</v>
      </c>
    </row>
    <row r="70" spans="1:45" ht="24" customHeight="1" x14ac:dyDescent="0.4">
      <c r="A70" s="18">
        <v>65</v>
      </c>
      <c r="B70" s="18"/>
      <c r="C70" s="18"/>
      <c r="D70" s="18"/>
      <c r="E70" s="18" t="s">
        <v>479</v>
      </c>
      <c r="F70" s="18" t="s">
        <v>480</v>
      </c>
      <c r="G70" s="163" t="s">
        <v>730</v>
      </c>
      <c r="H70" s="163"/>
      <c r="I70" s="163"/>
      <c r="J70" s="163"/>
      <c r="K70" s="163"/>
      <c r="L70" s="163" t="s">
        <v>481</v>
      </c>
      <c r="M70" s="163" t="s">
        <v>482</v>
      </c>
      <c r="N70" s="163" t="s">
        <v>483</v>
      </c>
      <c r="O70" s="163" t="s">
        <v>483</v>
      </c>
      <c r="P70" s="163"/>
      <c r="Q70" t="s">
        <v>157</v>
      </c>
      <c r="S70" s="163" t="s">
        <v>731</v>
      </c>
      <c r="T70" s="51" t="s">
        <v>485</v>
      </c>
      <c r="U70" s="51"/>
      <c r="V70" s="51"/>
      <c r="W70" s="50"/>
      <c r="X70" s="50"/>
      <c r="Y70" s="50"/>
      <c r="Z70" s="50"/>
      <c r="AA70" s="52"/>
      <c r="AB70" s="52"/>
      <c r="AC70" s="52"/>
      <c r="AE70" s="163" t="s">
        <v>182</v>
      </c>
      <c r="AF70" s="54"/>
      <c r="AG70" s="14"/>
      <c r="AH70" s="14" t="s">
        <v>478</v>
      </c>
      <c r="AI70" s="50"/>
      <c r="AJ70" s="50"/>
      <c r="AK70" s="163"/>
      <c r="AL70" s="50"/>
      <c r="AM70" s="50"/>
      <c r="AN70" s="50"/>
      <c r="AO70" s="163" t="s">
        <v>732</v>
      </c>
      <c r="AP70" t="s">
        <v>167</v>
      </c>
    </row>
    <row r="71" spans="1:45" ht="24" customHeight="1" x14ac:dyDescent="0.4">
      <c r="A71" s="18">
        <v>66</v>
      </c>
      <c r="B71" s="18"/>
      <c r="C71" s="18"/>
      <c r="D71" s="18"/>
      <c r="E71" s="18" t="s">
        <v>487</v>
      </c>
      <c r="F71" s="18" t="s">
        <v>488</v>
      </c>
      <c r="G71" s="163"/>
      <c r="H71" s="163"/>
      <c r="I71" s="163"/>
      <c r="J71" s="163"/>
      <c r="K71" s="163" t="s">
        <v>309</v>
      </c>
      <c r="L71" s="163"/>
      <c r="M71" s="163" t="s">
        <v>309</v>
      </c>
      <c r="N71" s="163" t="s">
        <v>311</v>
      </c>
      <c r="O71" s="163"/>
      <c r="P71" s="163" t="s">
        <v>489</v>
      </c>
      <c r="Q71" t="s">
        <v>157</v>
      </c>
      <c r="R71" t="s">
        <v>217</v>
      </c>
      <c r="S71" s="163" t="s">
        <v>490</v>
      </c>
      <c r="T71" s="51"/>
      <c r="U71" s="51"/>
      <c r="V71" s="51"/>
      <c r="W71" s="50"/>
      <c r="X71" s="50"/>
      <c r="Y71" s="50"/>
      <c r="Z71" s="50"/>
      <c r="AA71" s="52"/>
      <c r="AB71" s="52"/>
      <c r="AC71" s="52"/>
      <c r="AE71" s="163" t="s">
        <v>182</v>
      </c>
      <c r="AF71" s="54" t="s">
        <v>733</v>
      </c>
      <c r="AG71" s="14"/>
      <c r="AH71" s="14" t="s">
        <v>492</v>
      </c>
      <c r="AI71" s="50"/>
      <c r="AJ71" s="50"/>
      <c r="AK71" s="163" t="s">
        <v>163</v>
      </c>
      <c r="AL71" s="50"/>
      <c r="AM71" s="50"/>
      <c r="AN71" s="50"/>
      <c r="AO71" s="163" t="s">
        <v>734</v>
      </c>
      <c r="AP71" t="s">
        <v>167</v>
      </c>
    </row>
    <row r="72" spans="1:45" ht="24" customHeight="1" x14ac:dyDescent="0.4">
      <c r="A72" s="18">
        <v>67</v>
      </c>
      <c r="B72" s="18"/>
      <c r="C72" s="18"/>
      <c r="D72" s="18"/>
      <c r="E72" s="18" t="s">
        <v>735</v>
      </c>
      <c r="F72" s="18" t="s">
        <v>736</v>
      </c>
      <c r="G72" s="163" t="s">
        <v>737</v>
      </c>
      <c r="H72" s="163" t="s">
        <v>735</v>
      </c>
      <c r="I72" s="163" t="s">
        <v>735</v>
      </c>
      <c r="J72" s="163" t="s">
        <v>738</v>
      </c>
      <c r="K72" s="163" t="s">
        <v>739</v>
      </c>
      <c r="L72" s="163" t="s">
        <v>740</v>
      </c>
      <c r="M72" s="163" t="s">
        <v>741</v>
      </c>
      <c r="N72" s="163" t="s">
        <v>742</v>
      </c>
      <c r="O72" s="163" t="s">
        <v>743</v>
      </c>
      <c r="P72" s="163" t="s">
        <v>744</v>
      </c>
      <c r="Q72" t="s">
        <v>745</v>
      </c>
      <c r="R72" t="s">
        <v>746</v>
      </c>
      <c r="S72" s="163" t="s">
        <v>747</v>
      </c>
      <c r="T72" s="51" t="s">
        <v>748</v>
      </c>
      <c r="U72" s="51" t="s">
        <v>735</v>
      </c>
      <c r="V72" s="51" t="s">
        <v>749</v>
      </c>
      <c r="W72" s="50" t="s">
        <v>735</v>
      </c>
      <c r="X72" s="50" t="s">
        <v>735</v>
      </c>
      <c r="Y72" s="50" t="s">
        <v>750</v>
      </c>
      <c r="Z72" s="50" t="s">
        <v>751</v>
      </c>
      <c r="AA72" s="52">
        <v>13637</v>
      </c>
      <c r="AB72" s="52">
        <v>0</v>
      </c>
      <c r="AC72" s="52">
        <v>0</v>
      </c>
      <c r="AD72">
        <v>0</v>
      </c>
      <c r="AE72" s="163" t="s">
        <v>752</v>
      </c>
      <c r="AF72" s="54"/>
      <c r="AG72" s="14"/>
      <c r="AH72" s="14" t="str">
        <f>IF(OR(AC53="",AD53=""),"Sin evaluar",IF(AND(AC53&gt;=3,AD53&gt;=3),"Invest",IF(AND(AC53&gt;=3,AD53&lt;3),"Migrate",IF(AND(AC53&lt;3,AD53&gt;=3),"Tolerate","Eliminate"))))</f>
        <v>Eliminate</v>
      </c>
      <c r="AI72" s="50" t="s">
        <v>735</v>
      </c>
      <c r="AJ72" s="50" t="s">
        <v>735</v>
      </c>
      <c r="AK72" s="163" t="s">
        <v>163</v>
      </c>
      <c r="AL72" s="50" t="s">
        <v>753</v>
      </c>
      <c r="AM72" s="50" t="s">
        <v>735</v>
      </c>
      <c r="AN72" s="50" t="s">
        <v>735</v>
      </c>
      <c r="AO72" s="163" t="s">
        <v>754</v>
      </c>
      <c r="AP72" t="s">
        <v>755</v>
      </c>
      <c r="AR72" t="s">
        <v>756</v>
      </c>
      <c r="AS72" t="s">
        <v>169</v>
      </c>
    </row>
    <row r="73" spans="1:45" ht="66" customHeight="1" x14ac:dyDescent="0.4">
      <c r="AO73" s="163"/>
    </row>
    <row r="74" spans="1:45" ht="66" customHeight="1" x14ac:dyDescent="0.4">
      <c r="AO74" s="163"/>
    </row>
    <row r="75" spans="1:45" ht="52.85" customHeight="1" x14ac:dyDescent="0.4">
      <c r="AO75" s="163"/>
    </row>
    <row r="76" spans="1:45" ht="52.85" customHeight="1" x14ac:dyDescent="0.4">
      <c r="AO76" s="163"/>
    </row>
    <row r="77" spans="1:45" ht="66" customHeight="1" x14ac:dyDescent="0.4">
      <c r="AO77" s="163"/>
    </row>
    <row r="78" spans="1:45" ht="52.85" customHeight="1" x14ac:dyDescent="0.4">
      <c r="AO78" s="163"/>
    </row>
    <row r="79" spans="1:45" ht="52.85" customHeight="1" x14ac:dyDescent="0.4">
      <c r="AO79" s="163"/>
    </row>
    <row r="80" spans="1:45" x14ac:dyDescent="0.4">
      <c r="AO80" s="163"/>
    </row>
    <row r="81" spans="41:41" x14ac:dyDescent="0.4">
      <c r="AO81" s="163"/>
    </row>
    <row r="82" spans="41:41" x14ac:dyDescent="0.4">
      <c r="AO82" s="163"/>
    </row>
    <row r="83" spans="41:41" x14ac:dyDescent="0.4">
      <c r="AO83" s="163"/>
    </row>
    <row r="84" spans="41:41" x14ac:dyDescent="0.4">
      <c r="AO84" s="163"/>
    </row>
    <row r="85" spans="41:41" x14ac:dyDescent="0.4">
      <c r="AO85" s="163"/>
    </row>
    <row r="86" spans="41:41" x14ac:dyDescent="0.4">
      <c r="AO86" s="163"/>
    </row>
    <row r="87" spans="41:41" x14ac:dyDescent="0.4">
      <c r="AO87" s="163"/>
    </row>
    <row r="88" spans="41:41" x14ac:dyDescent="0.4">
      <c r="AO88" s="163"/>
    </row>
    <row r="89" spans="41:41" x14ac:dyDescent="0.4">
      <c r="AO89" s="163"/>
    </row>
    <row r="90" spans="41:41" x14ac:dyDescent="0.4">
      <c r="AO90" s="163"/>
    </row>
    <row r="91" spans="41:41" x14ac:dyDescent="0.4">
      <c r="AO91" s="163"/>
    </row>
    <row r="92" spans="41:41" x14ac:dyDescent="0.4">
      <c r="AO92" s="163"/>
    </row>
    <row r="93" spans="41:41" x14ac:dyDescent="0.4">
      <c r="AO93" s="163"/>
    </row>
    <row r="94" spans="41:41" x14ac:dyDescent="0.4">
      <c r="AO94" s="163"/>
    </row>
    <row r="95" spans="41:41" x14ac:dyDescent="0.4">
      <c r="AO95" s="163"/>
    </row>
  </sheetData>
  <autoFilter ref="A3:AQ212" xr:uid="{00000000-0009-0000-0000-000002000000}"/>
  <mergeCells count="11">
    <mergeCell ref="AP2:AQ2"/>
    <mergeCell ref="AE2:AH2"/>
    <mergeCell ref="AL2:AO2"/>
    <mergeCell ref="AI2:AK2"/>
    <mergeCell ref="X2:Z2"/>
    <mergeCell ref="F2:P2"/>
    <mergeCell ref="A28:A30"/>
    <mergeCell ref="F28:F30"/>
    <mergeCell ref="G28:G30"/>
    <mergeCell ref="Q2:W2"/>
    <mergeCell ref="AA2:AD2"/>
  </mergeCells>
  <conditionalFormatting sqref="AE4:AE27 AE34:AE212">
    <cfRule type="cellIs" dxfId="11" priority="14" operator="equal">
      <formula>"Mission Critical"</formula>
    </cfRule>
    <cfRule type="cellIs" dxfId="10" priority="15" operator="equal">
      <formula>"High"</formula>
    </cfRule>
    <cfRule type="cellIs" dxfId="9" priority="16" operator="equal">
      <formula>"Medium"</formula>
    </cfRule>
    <cfRule type="cellIs" dxfId="8" priority="17" operator="equal">
      <formula>"Low"</formula>
    </cfRule>
  </conditionalFormatting>
  <conditionalFormatting sqref="AH4:AH13 AH17:AH25 AH34:AH212">
    <cfRule type="cellIs" dxfId="7" priority="18" operator="equal">
      <formula>"Invest"</formula>
    </cfRule>
    <cfRule type="cellIs" dxfId="6" priority="19" operator="equal">
      <formula>"Migrate"</formula>
    </cfRule>
    <cfRule type="cellIs" dxfId="5" priority="20" operator="equal">
      <formula>"Tolerate"</formula>
    </cfRule>
    <cfRule type="cellIs" dxfId="4" priority="21" operator="equal">
      <formula>"Eliminate"</formula>
    </cfRule>
  </conditionalFormatting>
  <conditionalFormatting sqref="AH27">
    <cfRule type="cellIs" dxfId="3" priority="10" operator="equal">
      <formula>"Invest"</formula>
    </cfRule>
    <cfRule type="cellIs" dxfId="2" priority="11" operator="equal">
      <formula>"Migrate"</formula>
    </cfRule>
    <cfRule type="cellIs" dxfId="1" priority="12" operator="equal">
      <formula>"Tolerate"</formula>
    </cfRule>
    <cfRule type="cellIs" dxfId="0" priority="13" operator="equal">
      <formula>"Eliminate"</formula>
    </cfRule>
  </conditionalFormatting>
  <dataValidations count="1">
    <dataValidation type="whole" allowBlank="1" sqref="AF4:AG13 AF17:AG25 AF27:AG27 AF34:AG212" xr:uid="{00000000-0002-0000-0200-000000000000}">
      <formula1>1</formula1>
      <formula2>5</formula2>
    </dataValidation>
  </dataValidations>
  <hyperlinks>
    <hyperlink ref="L4" r:id="rId1" xr:uid="{00000000-0004-0000-0200-000000000000}"/>
    <hyperlink ref="M4" r:id="rId2" xr:uid="{00000000-0004-0000-0200-000001000000}"/>
    <hyperlink ref="AR4" r:id="rId3" xr:uid="{00000000-0004-0000-0200-000002000000}"/>
    <hyperlink ref="L5" r:id="rId4" xr:uid="{00000000-0004-0000-0200-000003000000}"/>
    <hyperlink ref="M5" r:id="rId5" xr:uid="{00000000-0004-0000-0200-000004000000}"/>
    <hyperlink ref="N5" r:id="rId6" xr:uid="{00000000-0004-0000-0200-000005000000}"/>
    <hyperlink ref="O5" r:id="rId7" xr:uid="{00000000-0004-0000-0200-000006000000}"/>
    <hyperlink ref="T5" r:id="rId8" xr:uid="{00000000-0004-0000-0200-000007000000}"/>
    <hyperlink ref="U5" r:id="rId9" xr:uid="{00000000-0004-0000-0200-000008000000}"/>
    <hyperlink ref="V5" r:id="rId10" xr:uid="{00000000-0004-0000-0200-000009000000}"/>
    <hyperlink ref="L6" r:id="rId11" xr:uid="{00000000-0004-0000-0200-00000A000000}"/>
    <hyperlink ref="N6" r:id="rId12" xr:uid="{00000000-0004-0000-0200-00000B000000}"/>
    <hyperlink ref="O6" r:id="rId13" xr:uid="{00000000-0004-0000-0200-00000C000000}"/>
    <hyperlink ref="T6" r:id="rId14" xr:uid="{00000000-0004-0000-0200-00000D000000}"/>
    <hyperlink ref="U6" r:id="rId15" xr:uid="{00000000-0004-0000-0200-00000E000000}"/>
    <hyperlink ref="V6" r:id="rId16" xr:uid="{00000000-0004-0000-0200-00000F000000}"/>
    <hyperlink ref="L7" r:id="rId17" xr:uid="{00000000-0004-0000-0200-000010000000}"/>
    <hyperlink ref="M7" r:id="rId18" xr:uid="{00000000-0004-0000-0200-000011000000}"/>
    <hyperlink ref="L8" r:id="rId19" xr:uid="{00000000-0004-0000-0200-000012000000}"/>
    <hyperlink ref="M8" r:id="rId20" xr:uid="{00000000-0004-0000-0200-000013000000}"/>
    <hyperlink ref="N8" r:id="rId21" xr:uid="{00000000-0004-0000-0200-000014000000}"/>
    <hyperlink ref="O8" r:id="rId22" xr:uid="{00000000-0004-0000-0200-000015000000}"/>
    <hyperlink ref="T8" r:id="rId23" xr:uid="{00000000-0004-0000-0200-000016000000}"/>
    <hyperlink ref="U8" r:id="rId24" xr:uid="{00000000-0004-0000-0200-000017000000}"/>
    <hyperlink ref="L9" r:id="rId25" xr:uid="{00000000-0004-0000-0200-000018000000}"/>
    <hyperlink ref="M9" r:id="rId26" xr:uid="{00000000-0004-0000-0200-000019000000}"/>
    <hyperlink ref="N9" r:id="rId27" xr:uid="{00000000-0004-0000-0200-00001A000000}"/>
    <hyperlink ref="O9" r:id="rId28" xr:uid="{00000000-0004-0000-0200-00001B000000}"/>
    <hyperlink ref="AR9" r:id="rId29" xr:uid="{00000000-0004-0000-0200-00001C000000}"/>
    <hyperlink ref="L13" r:id="rId30" xr:uid="{00000000-0004-0000-0200-00001D000000}"/>
    <hyperlink ref="M13" r:id="rId31" xr:uid="{00000000-0004-0000-0200-00001E000000}"/>
    <hyperlink ref="N13" r:id="rId32" xr:uid="{00000000-0004-0000-0200-00001F000000}"/>
    <hyperlink ref="O13" r:id="rId33" xr:uid="{00000000-0004-0000-0200-000020000000}"/>
    <hyperlink ref="AR13" r:id="rId34" xr:uid="{00000000-0004-0000-0200-000021000000}"/>
    <hyperlink ref="AR14" r:id="rId35" xr:uid="{00000000-0004-0000-0200-000022000000}"/>
    <hyperlink ref="K16" r:id="rId36" xr:uid="{00000000-0004-0000-0200-000023000000}"/>
    <hyperlink ref="T19" r:id="rId37" xr:uid="{00000000-0004-0000-0200-000024000000}"/>
    <hyperlink ref="AR20" r:id="rId38" xr:uid="{00000000-0004-0000-0200-000025000000}"/>
    <hyperlink ref="AR21" r:id="rId39" xr:uid="{00000000-0004-0000-0200-000026000000}"/>
    <hyperlink ref="N22" r:id="rId40" xr:uid="{00000000-0004-0000-0200-000027000000}"/>
    <hyperlink ref="O22" r:id="rId41" xr:uid="{00000000-0004-0000-0200-000028000000}"/>
    <hyperlink ref="AR22" r:id="rId42" xr:uid="{00000000-0004-0000-0200-000029000000}"/>
    <hyperlink ref="AR23" r:id="rId43" xr:uid="{00000000-0004-0000-0200-00002A000000}"/>
    <hyperlink ref="M24" r:id="rId44" xr:uid="{00000000-0004-0000-0200-00002B000000}"/>
    <hyperlink ref="N24" r:id="rId45" xr:uid="{00000000-0004-0000-0200-00002C000000}"/>
    <hyperlink ref="O24" r:id="rId46" xr:uid="{00000000-0004-0000-0200-00002D000000}"/>
    <hyperlink ref="T25" r:id="rId47" xr:uid="{00000000-0004-0000-0200-00002E000000}"/>
    <hyperlink ref="AR25" r:id="rId48" xr:uid="{00000000-0004-0000-0200-00002F000000}"/>
    <hyperlink ref="L27" r:id="rId49" xr:uid="{00000000-0004-0000-0200-000030000000}"/>
    <hyperlink ref="T29" r:id="rId50" xr:uid="{00000000-0004-0000-0200-000031000000}"/>
    <hyperlink ref="L31" r:id="rId51" xr:uid="{00000000-0004-0000-0200-000032000000}"/>
    <hyperlink ref="M31" r:id="rId52" xr:uid="{00000000-0004-0000-0200-000033000000}"/>
    <hyperlink ref="N31" r:id="rId53" xr:uid="{00000000-0004-0000-0200-000034000000}"/>
    <hyperlink ref="O31" r:id="rId54" xr:uid="{00000000-0004-0000-0200-000035000000}"/>
    <hyperlink ref="K33" r:id="rId55" xr:uid="{00000000-0004-0000-0200-000036000000}"/>
    <hyperlink ref="L33" r:id="rId56" xr:uid="{00000000-0004-0000-0200-000037000000}"/>
    <hyperlink ref="M33" r:id="rId57" xr:uid="{00000000-0004-0000-0200-000038000000}"/>
    <hyperlink ref="T33" r:id="rId58" xr:uid="{00000000-0004-0000-0200-000039000000}"/>
    <hyperlink ref="L34" r:id="rId59" display="hcolon@tec.mx" xr:uid="{00000000-0004-0000-0200-00003A000000}"/>
    <hyperlink ref="M34" r:id="rId60" xr:uid="{00000000-0004-0000-0200-00003B000000}"/>
    <hyperlink ref="N34" r:id="rId61" xr:uid="{00000000-0004-0000-0200-00003C000000}"/>
    <hyperlink ref="O34" r:id="rId62" xr:uid="{00000000-0004-0000-0200-00003D000000}"/>
    <hyperlink ref="L35" r:id="rId63" xr:uid="{00000000-0004-0000-0200-00003E000000}"/>
    <hyperlink ref="M35" r:id="rId64" xr:uid="{00000000-0004-0000-0200-00003F000000}"/>
    <hyperlink ref="N35" r:id="rId65" xr:uid="{00000000-0004-0000-0200-000040000000}"/>
    <hyperlink ref="O35" r:id="rId66" xr:uid="{00000000-0004-0000-0200-000041000000}"/>
    <hyperlink ref="AR35" r:id="rId67" xr:uid="{00000000-0004-0000-0200-000042000000}"/>
    <hyperlink ref="T41" r:id="rId68" xr:uid="{00000000-0004-0000-0200-000043000000}"/>
    <hyperlink ref="M43" r:id="rId69" xr:uid="{00000000-0004-0000-0200-000044000000}"/>
    <hyperlink ref="N44" r:id="rId70" xr:uid="{00000000-0004-0000-0200-000045000000}"/>
    <hyperlink ref="O44" r:id="rId71" xr:uid="{00000000-0004-0000-0200-000046000000}"/>
    <hyperlink ref="AR44" r:id="rId72" xr:uid="{00000000-0004-0000-0200-000047000000}"/>
    <hyperlink ref="AR45" r:id="rId73" xr:uid="{00000000-0004-0000-0200-000048000000}"/>
    <hyperlink ref="K46" r:id="rId74" display="t-romangonzalez@itesm.mx" xr:uid="{00000000-0004-0000-0200-000049000000}"/>
    <hyperlink ref="M46" r:id="rId75" xr:uid="{00000000-0004-0000-0200-00004A000000}"/>
    <hyperlink ref="AR46" r:id="rId76" xr:uid="{00000000-0004-0000-0200-00004B000000}"/>
    <hyperlink ref="AR47" r:id="rId77" xr:uid="{00000000-0004-0000-0200-00004C000000}"/>
    <hyperlink ref="L48" r:id="rId78" xr:uid="{00000000-0004-0000-0200-00004D000000}"/>
    <hyperlink ref="AR48" r:id="rId79" xr:uid="{00000000-0004-0000-0200-00004E000000}"/>
    <hyperlink ref="L49" r:id="rId80" xr:uid="{00000000-0004-0000-0200-00004F000000}"/>
    <hyperlink ref="M49" r:id="rId81" display="Bernardo.duran@tec.mx" xr:uid="{00000000-0004-0000-0200-000050000000}"/>
    <hyperlink ref="AR49" r:id="rId82" xr:uid="{00000000-0004-0000-0200-000051000000}"/>
    <hyperlink ref="L50" r:id="rId83" xr:uid="{00000000-0004-0000-0200-000052000000}"/>
    <hyperlink ref="M50" r:id="rId84" xr:uid="{00000000-0004-0000-0200-000053000000}"/>
    <hyperlink ref="N50" r:id="rId85" xr:uid="{00000000-0004-0000-0200-000054000000}"/>
    <hyperlink ref="O50" r:id="rId86" xr:uid="{00000000-0004-0000-0200-000055000000}"/>
    <hyperlink ref="AR50" r:id="rId87" xr:uid="{00000000-0004-0000-0200-000056000000}"/>
    <hyperlink ref="AR51" r:id="rId88" xr:uid="{00000000-0004-0000-0200-000057000000}"/>
    <hyperlink ref="AR52" r:id="rId89" xr:uid="{00000000-0004-0000-0200-000058000000}"/>
    <hyperlink ref="AR54" r:id="rId90" xr:uid="{00000000-0004-0000-0200-000059000000}"/>
    <hyperlink ref="M56" r:id="rId91" xr:uid="{00000000-0004-0000-0200-00005A000000}"/>
    <hyperlink ref="N56" r:id="rId92" xr:uid="{00000000-0004-0000-0200-00005B000000}"/>
    <hyperlink ref="O56" r:id="rId93" xr:uid="{00000000-0004-0000-0200-00005C000000}"/>
  </hyperlinks>
  <pageMargins left="0.75" right="0.75" top="1" bottom="1" header="0.51180555555555596" footer="0.51180555555555596"/>
  <pageSetup paperSize="9" orientation="portrait" horizontalDpi="300" verticalDpi="300"/>
  <headerFooter>
    <oddHeader>&amp;C&amp;"Arial,Bold"&amp;9 &amp;K1b3068Gestión del Portafolio de Aplicaciones — Modelo TIME de Gartner</oddHeader>
    <oddFooter>&amp;C&amp;"Arial,Regular"&amp;8 &amp;K78909cInventario del Portafolio de Aplicaciones (APM)</oddFooter>
  </headerFooter>
  <drawing r:id="rId94"/>
  <legacyDrawing r:id="rId9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4A6FC2"/>
  </sheetPr>
  <dimension ref="A2:K27"/>
  <sheetViews>
    <sheetView showGridLines="0" topLeftCell="A6" zoomScaleNormal="100" workbookViewId="0">
      <selection activeCell="G27" sqref="G27"/>
    </sheetView>
  </sheetViews>
  <sheetFormatPr defaultColWidth="8.69140625" defaultRowHeight="14.6" x14ac:dyDescent="0.4"/>
  <cols>
    <col min="1" max="1" width="3" style="164" customWidth="1"/>
    <col min="2" max="2" width="31.84375" style="164" customWidth="1"/>
    <col min="3" max="3" width="6" style="164" customWidth="1"/>
    <col min="4" max="4" width="24" style="164" customWidth="1"/>
    <col min="7" max="7" width="24" style="164" customWidth="1"/>
  </cols>
  <sheetData>
    <row r="2" spans="2:11" ht="30" customHeight="1" x14ac:dyDescent="0.4">
      <c r="B2" s="197" t="s">
        <v>757</v>
      </c>
      <c r="C2" s="171"/>
      <c r="D2" s="171"/>
      <c r="E2" s="171"/>
      <c r="F2" s="171"/>
      <c r="G2" s="171"/>
      <c r="H2" s="171"/>
      <c r="I2" s="171"/>
      <c r="J2" s="171"/>
      <c r="K2" s="171"/>
    </row>
    <row r="3" spans="2:11" ht="14.25" customHeight="1" x14ac:dyDescent="0.4">
      <c r="B3" s="190" t="s">
        <v>758</v>
      </c>
      <c r="C3" s="188"/>
      <c r="D3" s="190" t="s">
        <v>6</v>
      </c>
      <c r="E3" s="188"/>
      <c r="F3" s="188"/>
      <c r="G3" s="188"/>
      <c r="H3" s="188"/>
      <c r="I3" s="188"/>
      <c r="J3" s="188"/>
      <c r="K3" s="188"/>
    </row>
    <row r="4" spans="2:11" ht="21.75" customHeight="1" x14ac:dyDescent="0.4">
      <c r="B4" s="98" t="s">
        <v>759</v>
      </c>
      <c r="D4" s="191" t="s">
        <v>760</v>
      </c>
      <c r="E4" s="188"/>
      <c r="F4" s="188"/>
      <c r="G4" s="188"/>
      <c r="H4" s="188"/>
      <c r="I4" s="188"/>
      <c r="J4" s="188"/>
      <c r="K4" s="188"/>
    </row>
    <row r="5" spans="2:11" ht="21.75" customHeight="1" x14ac:dyDescent="0.4">
      <c r="B5" s="98" t="s">
        <v>761</v>
      </c>
      <c r="D5" s="191" t="s">
        <v>762</v>
      </c>
      <c r="E5" s="188"/>
      <c r="F5" s="188"/>
      <c r="G5" s="188"/>
      <c r="H5" s="188"/>
      <c r="I5" s="188"/>
      <c r="J5" s="188"/>
      <c r="K5" s="188"/>
    </row>
    <row r="6" spans="2:11" ht="21.75" customHeight="1" x14ac:dyDescent="0.4">
      <c r="B6" s="98" t="s">
        <v>763</v>
      </c>
      <c r="D6" s="191" t="s">
        <v>764</v>
      </c>
      <c r="E6" s="188"/>
      <c r="F6" s="188"/>
      <c r="G6" s="188"/>
      <c r="H6" s="188"/>
      <c r="I6" s="188"/>
      <c r="J6" s="188"/>
      <c r="K6" s="188"/>
    </row>
    <row r="7" spans="2:11" ht="21.75" customHeight="1" x14ac:dyDescent="0.4">
      <c r="B7" s="98" t="s">
        <v>765</v>
      </c>
      <c r="D7" s="191" t="s">
        <v>766</v>
      </c>
      <c r="E7" s="188"/>
      <c r="F7" s="188"/>
      <c r="G7" s="188"/>
      <c r="H7" s="188"/>
      <c r="I7" s="188"/>
      <c r="J7" s="188"/>
      <c r="K7" s="188"/>
    </row>
    <row r="8" spans="2:11" ht="21.75" customHeight="1" x14ac:dyDescent="0.4">
      <c r="B8" s="98" t="s">
        <v>767</v>
      </c>
      <c r="D8" s="191" t="s">
        <v>768</v>
      </c>
      <c r="E8" s="188"/>
      <c r="F8" s="188"/>
      <c r="G8" s="188"/>
      <c r="H8" s="188"/>
      <c r="I8" s="188"/>
      <c r="J8" s="188"/>
      <c r="K8" s="188"/>
    </row>
    <row r="10" spans="2:11" ht="7.5" customHeight="1" x14ac:dyDescent="0.4"/>
    <row r="11" spans="2:11" ht="14.25" customHeight="1" x14ac:dyDescent="0.4">
      <c r="B11" s="195" t="s">
        <v>769</v>
      </c>
      <c r="C11" s="188"/>
      <c r="D11" s="188"/>
      <c r="E11" s="188"/>
      <c r="F11" s="188"/>
      <c r="G11" s="188"/>
      <c r="H11" s="188"/>
      <c r="I11" s="188"/>
      <c r="J11" s="188"/>
      <c r="K11" s="188"/>
    </row>
    <row r="12" spans="2:11" ht="7.5" customHeight="1" x14ac:dyDescent="0.4"/>
    <row r="13" spans="2:11" ht="30" customHeight="1" x14ac:dyDescent="0.4">
      <c r="B13" s="197" t="s">
        <v>770</v>
      </c>
      <c r="C13" s="171"/>
      <c r="D13" s="171"/>
      <c r="E13" s="171"/>
      <c r="F13" s="171"/>
      <c r="G13" s="171"/>
      <c r="H13" s="171"/>
      <c r="I13" s="171"/>
      <c r="J13" s="171"/>
      <c r="K13" s="171"/>
    </row>
    <row r="14" spans="2:11" ht="14.25" customHeight="1" x14ac:dyDescent="0.4">
      <c r="B14" s="190" t="s">
        <v>758</v>
      </c>
      <c r="C14" s="188"/>
      <c r="D14" s="190" t="s">
        <v>6</v>
      </c>
      <c r="E14" s="188"/>
      <c r="F14" s="188"/>
      <c r="G14" s="188"/>
      <c r="H14" s="188"/>
      <c r="I14" s="188"/>
      <c r="J14" s="188"/>
      <c r="K14" s="188"/>
    </row>
    <row r="15" spans="2:11" ht="21.75" customHeight="1" x14ac:dyDescent="0.4">
      <c r="B15" s="98" t="s">
        <v>771</v>
      </c>
      <c r="D15" s="191" t="s">
        <v>772</v>
      </c>
      <c r="E15" s="188"/>
      <c r="F15" s="188"/>
      <c r="G15" s="188"/>
      <c r="H15" s="188"/>
      <c r="I15" s="188"/>
      <c r="J15" s="188"/>
      <c r="K15" s="188"/>
    </row>
    <row r="16" spans="2:11" ht="21.75" customHeight="1" x14ac:dyDescent="0.4">
      <c r="B16" s="98" t="s">
        <v>773</v>
      </c>
      <c r="D16" s="191" t="s">
        <v>774</v>
      </c>
      <c r="E16" s="188"/>
      <c r="F16" s="188"/>
      <c r="G16" s="188"/>
      <c r="H16" s="188"/>
      <c r="I16" s="188"/>
      <c r="J16" s="188"/>
      <c r="K16" s="188"/>
    </row>
    <row r="17" spans="2:11" ht="21.75" customHeight="1" x14ac:dyDescent="0.4">
      <c r="B17" s="98" t="s">
        <v>775</v>
      </c>
      <c r="D17" s="191" t="s">
        <v>776</v>
      </c>
      <c r="E17" s="188"/>
      <c r="F17" s="188"/>
      <c r="G17" s="188"/>
      <c r="H17" s="188"/>
      <c r="I17" s="188"/>
      <c r="J17" s="188"/>
      <c r="K17" s="188"/>
    </row>
    <row r="18" spans="2:11" ht="21.75" customHeight="1" x14ac:dyDescent="0.4">
      <c r="B18" s="98" t="s">
        <v>777</v>
      </c>
      <c r="D18" s="191" t="s">
        <v>778</v>
      </c>
      <c r="E18" s="188"/>
      <c r="F18" s="188"/>
      <c r="G18" s="188"/>
      <c r="H18" s="188"/>
      <c r="I18" s="188"/>
      <c r="J18" s="188"/>
      <c r="K18" s="188"/>
    </row>
    <row r="19" spans="2:11" ht="21.75" customHeight="1" x14ac:dyDescent="0.4">
      <c r="B19" s="98" t="s">
        <v>779</v>
      </c>
      <c r="D19" s="191" t="s">
        <v>780</v>
      </c>
      <c r="E19" s="188"/>
      <c r="F19" s="188"/>
      <c r="G19" s="188"/>
      <c r="H19" s="188"/>
      <c r="I19" s="188"/>
      <c r="J19" s="188"/>
      <c r="K19" s="188"/>
    </row>
    <row r="21" spans="2:11" ht="7.5" customHeight="1" x14ac:dyDescent="0.4"/>
    <row r="22" spans="2:11" ht="14.25" customHeight="1" x14ac:dyDescent="0.4">
      <c r="B22" s="195" t="s">
        <v>781</v>
      </c>
      <c r="C22" s="188"/>
      <c r="D22" s="188"/>
      <c r="E22" s="188"/>
      <c r="F22" s="188"/>
      <c r="G22" s="188"/>
      <c r="H22" s="188"/>
      <c r="I22" s="188"/>
      <c r="J22" s="188"/>
      <c r="K22" s="188"/>
    </row>
    <row r="23" spans="2:11" ht="9.75" customHeight="1" x14ac:dyDescent="0.4"/>
    <row r="24" spans="2:11" ht="27.75" customHeight="1" x14ac:dyDescent="0.4">
      <c r="B24" s="192" t="s">
        <v>782</v>
      </c>
      <c r="C24" s="171"/>
      <c r="D24" s="171"/>
      <c r="E24" s="171"/>
      <c r="F24" s="171"/>
      <c r="G24" s="171"/>
      <c r="H24" s="171"/>
      <c r="I24" s="171"/>
      <c r="J24" s="171"/>
      <c r="K24" s="171"/>
    </row>
    <row r="25" spans="2:11" ht="21.75" customHeight="1" x14ac:dyDescent="0.4">
      <c r="B25" s="189"/>
      <c r="C25" s="188"/>
      <c r="D25" s="193" t="s">
        <v>783</v>
      </c>
      <c r="E25" s="188"/>
      <c r="F25" s="188"/>
      <c r="G25" s="193" t="s">
        <v>784</v>
      </c>
      <c r="H25" s="188"/>
      <c r="I25" s="188"/>
    </row>
    <row r="26" spans="2:11" ht="43.5" customHeight="1" x14ac:dyDescent="0.4">
      <c r="B26" s="193" t="s">
        <v>785</v>
      </c>
      <c r="C26" s="188"/>
      <c r="D26" s="196" t="s">
        <v>786</v>
      </c>
      <c r="E26" s="188"/>
      <c r="F26" s="188"/>
      <c r="G26" s="194" t="s">
        <v>787</v>
      </c>
      <c r="H26" s="188"/>
      <c r="I26" s="188"/>
    </row>
    <row r="27" spans="2:11" ht="43.5" customHeight="1" x14ac:dyDescent="0.4">
      <c r="B27" s="193" t="s">
        <v>788</v>
      </c>
      <c r="C27" s="188"/>
      <c r="D27" s="187" t="s">
        <v>789</v>
      </c>
      <c r="E27" s="188"/>
      <c r="F27" s="188"/>
      <c r="G27" s="198" t="s">
        <v>790</v>
      </c>
      <c r="H27" s="188"/>
      <c r="I27" s="188"/>
    </row>
  </sheetData>
  <mergeCells count="28">
    <mergeCell ref="G27:I27"/>
    <mergeCell ref="D8:K8"/>
    <mergeCell ref="D15:K15"/>
    <mergeCell ref="B13:K13"/>
    <mergeCell ref="D14:K14"/>
    <mergeCell ref="B26:C26"/>
    <mergeCell ref="B2:K2"/>
    <mergeCell ref="B11:K11"/>
    <mergeCell ref="D4:K4"/>
    <mergeCell ref="D18:K18"/>
    <mergeCell ref="D3:K3"/>
    <mergeCell ref="D5:K5"/>
    <mergeCell ref="D27:F27"/>
    <mergeCell ref="B25:C25"/>
    <mergeCell ref="B3:C3"/>
    <mergeCell ref="D19:K19"/>
    <mergeCell ref="B24:K24"/>
    <mergeCell ref="B27:C27"/>
    <mergeCell ref="D6:K6"/>
    <mergeCell ref="B14:C14"/>
    <mergeCell ref="G26:I26"/>
    <mergeCell ref="D25:F25"/>
    <mergeCell ref="G25:I25"/>
    <mergeCell ref="D17:K17"/>
    <mergeCell ref="B22:K22"/>
    <mergeCell ref="D7:K7"/>
    <mergeCell ref="D16:K16"/>
    <mergeCell ref="D26:F26"/>
  </mergeCells>
  <pageMargins left="0.75" right="0.75" top="1" bottom="1" header="0.51180555555555596" footer="0.51180555555555596"/>
  <pageSetup paperSize="9" orientation="portrait" horizontalDpi="300" verticalDpi="300"/>
  <headerFooter>
    <oddHeader>&amp;C&amp;"Arial,Bold"&amp;9 &amp;K1b3068Gestión del Portafolio de Aplicaciones — Modelo TIME de Gartner</oddHeader>
    <oddFooter>&amp;C&amp;"Arial,Regular"&amp;8 &amp;K78909cInventario del Portafolio de Aplicaciones (APM)</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E31920"/>
  </sheetPr>
  <dimension ref="A2:N39"/>
  <sheetViews>
    <sheetView showGridLines="0" topLeftCell="A37" zoomScaleNormal="100" workbookViewId="0">
      <selection activeCell="T56" sqref="T56"/>
    </sheetView>
  </sheetViews>
  <sheetFormatPr defaultColWidth="8.69140625" defaultRowHeight="14.6" x14ac:dyDescent="0.4"/>
  <cols>
    <col min="1" max="1" width="3" style="164" customWidth="1"/>
    <col min="2" max="13" width="7.4609375" style="164" customWidth="1"/>
    <col min="14" max="14" width="23.4609375" style="164" customWidth="1"/>
  </cols>
  <sheetData>
    <row r="2" spans="2:14" ht="33.75" customHeight="1" x14ac:dyDescent="0.4">
      <c r="B2" s="217" t="s">
        <v>791</v>
      </c>
      <c r="C2" s="171"/>
      <c r="D2" s="171"/>
      <c r="E2" s="171"/>
      <c r="F2" s="171"/>
      <c r="G2" s="171"/>
      <c r="H2" s="171"/>
      <c r="I2" s="171"/>
      <c r="J2" s="171"/>
      <c r="K2" s="171"/>
      <c r="L2" s="171"/>
      <c r="M2" s="171"/>
      <c r="N2" s="171"/>
    </row>
    <row r="3" spans="2:14" ht="18" customHeight="1" x14ac:dyDescent="0.4">
      <c r="B3" s="212" t="s">
        <v>792</v>
      </c>
      <c r="C3" s="171"/>
      <c r="D3" s="171"/>
      <c r="E3" s="171"/>
      <c r="F3" s="171"/>
      <c r="G3" s="171"/>
      <c r="H3" s="171"/>
      <c r="I3" s="171"/>
      <c r="J3" s="171"/>
      <c r="K3" s="171"/>
      <c r="L3" s="171"/>
      <c r="M3" s="171"/>
      <c r="N3" s="171"/>
    </row>
    <row r="4" spans="2:14" ht="9.75" customHeight="1" x14ac:dyDescent="0.4"/>
    <row r="5" spans="2:14" ht="21.75" customHeight="1" x14ac:dyDescent="0.4">
      <c r="B5" s="178" t="s">
        <v>793</v>
      </c>
      <c r="C5" s="171"/>
      <c r="D5" s="171"/>
      <c r="E5" s="171"/>
      <c r="F5" s="171"/>
      <c r="G5" s="171"/>
      <c r="H5" s="171"/>
      <c r="I5" s="171"/>
      <c r="J5" s="171"/>
      <c r="K5" s="171"/>
      <c r="L5" s="171"/>
      <c r="M5" s="171"/>
      <c r="N5" s="171"/>
    </row>
    <row r="6" spans="2:14" ht="30" customHeight="1" x14ac:dyDescent="0.4">
      <c r="B6" s="204" t="s">
        <v>794</v>
      </c>
      <c r="C6" s="188"/>
      <c r="D6" s="188"/>
      <c r="F6" s="208" t="s">
        <v>795</v>
      </c>
      <c r="G6" s="188"/>
      <c r="H6" s="188"/>
      <c r="J6" s="199" t="s">
        <v>796</v>
      </c>
      <c r="K6" s="188"/>
      <c r="L6" s="188"/>
      <c r="N6" s="99" t="s">
        <v>797</v>
      </c>
    </row>
    <row r="7" spans="2:14" ht="43.5" customHeight="1" x14ac:dyDescent="0.4">
      <c r="B7" s="216">
        <f>COUNTIF(Inventory!AH:AH,"Invest")</f>
        <v>13</v>
      </c>
      <c r="C7" s="188"/>
      <c r="D7" s="188"/>
      <c r="F7" s="214">
        <f>COUNTIF(Inventory!AH:AH,"Migrate")</f>
        <v>32</v>
      </c>
      <c r="G7" s="188"/>
      <c r="H7" s="188"/>
      <c r="J7" s="206">
        <f>COUNTIF(Inventory!AH:AH,"Tolerate")</f>
        <v>2</v>
      </c>
      <c r="K7" s="188"/>
      <c r="L7" s="188"/>
      <c r="N7" s="100">
        <f>COUNTIF(Inventory!AH:AH,"Eliminate")</f>
        <v>22</v>
      </c>
    </row>
    <row r="9" spans="2:14" ht="14.25" customHeight="1" x14ac:dyDescent="0.4">
      <c r="B9" s="171"/>
      <c r="C9" s="171"/>
      <c r="D9" s="171"/>
    </row>
    <row r="10" spans="2:14" ht="14.25" customHeight="1" x14ac:dyDescent="0.4">
      <c r="B10" s="171"/>
      <c r="C10" s="171"/>
      <c r="D10" s="171"/>
    </row>
    <row r="11" spans="2:14" ht="9.75" customHeight="1" x14ac:dyDescent="0.4"/>
    <row r="12" spans="2:14" ht="21.75" customHeight="1" x14ac:dyDescent="0.4">
      <c r="B12" s="178" t="s">
        <v>798</v>
      </c>
      <c r="C12" s="171"/>
      <c r="D12" s="171"/>
      <c r="E12" s="171"/>
      <c r="F12" s="171"/>
      <c r="G12" s="171"/>
      <c r="H12" s="171"/>
      <c r="I12" s="171"/>
      <c r="J12" s="171"/>
      <c r="K12" s="171"/>
      <c r="L12" s="171"/>
      <c r="M12" s="171"/>
      <c r="N12" s="171"/>
    </row>
    <row r="13" spans="2:14" ht="30" customHeight="1" x14ac:dyDescent="0.4">
      <c r="B13" s="204" t="s">
        <v>799</v>
      </c>
      <c r="C13" s="188"/>
      <c r="D13" s="188"/>
      <c r="F13" s="208" t="s">
        <v>800</v>
      </c>
      <c r="G13" s="188"/>
      <c r="H13" s="188"/>
      <c r="J13" s="199" t="s">
        <v>801</v>
      </c>
      <c r="K13" s="188"/>
      <c r="L13" s="188"/>
      <c r="N13" s="99" t="s">
        <v>802</v>
      </c>
    </row>
    <row r="14" spans="2:14" ht="43.5" customHeight="1" x14ac:dyDescent="0.4">
      <c r="B14" s="200">
        <f>SUMIF(Inventory!AH:AH,"Invest",Inventory!AD:AD)</f>
        <v>0</v>
      </c>
      <c r="C14" s="188"/>
      <c r="D14" s="188"/>
      <c r="F14" s="213">
        <f>SUMIF(Inventory!AH:AH,"Migrate",Inventory!AD:AD)</f>
        <v>0</v>
      </c>
      <c r="G14" s="188"/>
      <c r="H14" s="188"/>
      <c r="J14" s="218">
        <f>SUMIF(Inventory!AH:AH,"Tolerate",Inventory!AD:AD)</f>
        <v>0</v>
      </c>
      <c r="K14" s="188"/>
      <c r="L14" s="188"/>
      <c r="N14" s="101">
        <f>SUMIF(Inventory!AH:AH,"Eliminate",Inventory!AD:AD)</f>
        <v>0</v>
      </c>
    </row>
    <row r="15" spans="2:14" ht="9.75" customHeight="1" x14ac:dyDescent="0.4"/>
    <row r="16" spans="2:14" ht="21.75" customHeight="1" x14ac:dyDescent="0.4">
      <c r="B16" s="178" t="s">
        <v>803</v>
      </c>
      <c r="C16" s="171"/>
      <c r="D16" s="171"/>
      <c r="E16" s="171"/>
      <c r="F16" s="171"/>
      <c r="G16" s="171"/>
      <c r="H16" s="171"/>
      <c r="I16" s="171"/>
      <c r="J16" s="171"/>
      <c r="K16" s="171"/>
      <c r="L16" s="171"/>
      <c r="M16" s="171"/>
      <c r="N16" s="171"/>
    </row>
    <row r="17" spans="2:14" ht="30" customHeight="1" x14ac:dyDescent="0.4">
      <c r="B17" s="202" t="s">
        <v>804</v>
      </c>
      <c r="C17" s="188"/>
      <c r="D17" s="188"/>
      <c r="F17" s="205" t="s">
        <v>805</v>
      </c>
      <c r="G17" s="188"/>
      <c r="H17" s="188"/>
      <c r="J17" s="215" t="s">
        <v>806</v>
      </c>
      <c r="K17" s="188"/>
      <c r="L17" s="188"/>
      <c r="N17" s="102" t="s">
        <v>807</v>
      </c>
    </row>
    <row r="18" spans="2:14" ht="43.5" customHeight="1" x14ac:dyDescent="0.4">
      <c r="B18" s="201">
        <f ca="1">COUNTIFS(Inventory!Y:Y,"&lt;="&amp;(TODAY()+365),Inventory!Y:Y,"&gt;="&amp;TODAY())</f>
        <v>0</v>
      </c>
      <c r="C18" s="188"/>
      <c r="D18" s="188"/>
      <c r="F18" s="201">
        <f ca="1">COUNTIFS(Inventory!Y:Y,"&lt;"&amp;TODAY(),Inventory!Y:Y,"&lt;&gt;"&amp;"")</f>
        <v>0</v>
      </c>
      <c r="G18" s="188"/>
      <c r="H18" s="188"/>
      <c r="J18" s="203">
        <f>COUNTA(Inventory!F4:F1001)-COUNTIF(Inventory!F4:F1001,"")</f>
        <v>-864</v>
      </c>
      <c r="K18" s="188"/>
      <c r="L18" s="188"/>
      <c r="N18" s="103">
        <f>SUM(Inventory!AD:AD)</f>
        <v>0</v>
      </c>
    </row>
    <row r="19" spans="2:14" ht="9.75" customHeight="1" x14ac:dyDescent="0.4"/>
    <row r="20" spans="2:14" ht="21.75" customHeight="1" x14ac:dyDescent="0.4">
      <c r="B20" s="178" t="s">
        <v>808</v>
      </c>
      <c r="C20" s="171"/>
      <c r="D20" s="171"/>
      <c r="E20" s="171"/>
      <c r="F20" s="171"/>
      <c r="G20" s="171"/>
      <c r="H20" s="171"/>
      <c r="I20" s="171"/>
      <c r="J20" s="171"/>
      <c r="K20" s="171"/>
      <c r="L20" s="171"/>
      <c r="M20" s="171"/>
      <c r="N20" s="171"/>
    </row>
    <row r="21" spans="2:14" ht="30" customHeight="1" x14ac:dyDescent="0.4">
      <c r="B21" s="202" t="s">
        <v>162</v>
      </c>
      <c r="C21" s="188"/>
      <c r="D21" s="188"/>
      <c r="F21" s="208" t="s">
        <v>278</v>
      </c>
      <c r="G21" s="188"/>
      <c r="H21" s="188"/>
      <c r="J21" s="199" t="s">
        <v>182</v>
      </c>
      <c r="K21" s="188"/>
      <c r="L21" s="188"/>
      <c r="N21" s="104" t="s">
        <v>255</v>
      </c>
    </row>
    <row r="22" spans="2:14" ht="43.5" customHeight="1" x14ac:dyDescent="0.4">
      <c r="B22" s="201">
        <f>COUNTIF(Inventory!AE:AE,"Mission Critical")</f>
        <v>23</v>
      </c>
      <c r="C22" s="188"/>
      <c r="D22" s="188"/>
      <c r="F22" s="207">
        <f>COUNTIF(Inventory!AE:AE,"High")</f>
        <v>16</v>
      </c>
      <c r="G22" s="188"/>
      <c r="H22" s="188"/>
      <c r="J22" s="210">
        <f>COUNTIF(Inventory!AE:AE,"Medium")</f>
        <v>25</v>
      </c>
      <c r="K22" s="188"/>
      <c r="L22" s="188"/>
      <c r="N22" s="105">
        <f>COUNTIF(Inventory!AE:AE,"Low")</f>
        <v>4</v>
      </c>
    </row>
    <row r="23" spans="2:14" ht="9.75" customHeight="1" x14ac:dyDescent="0.4"/>
    <row r="24" spans="2:14" ht="21.75" customHeight="1" x14ac:dyDescent="0.4">
      <c r="B24" s="178" t="s">
        <v>809</v>
      </c>
      <c r="C24" s="171"/>
      <c r="D24" s="171"/>
      <c r="E24" s="171"/>
      <c r="F24" s="171"/>
      <c r="G24" s="171"/>
      <c r="H24" s="171"/>
      <c r="I24" s="171"/>
      <c r="J24" s="171"/>
      <c r="K24" s="171"/>
      <c r="L24" s="171"/>
      <c r="M24" s="171"/>
      <c r="N24" s="171"/>
    </row>
    <row r="25" spans="2:14" ht="30" customHeight="1" x14ac:dyDescent="0.4">
      <c r="B25" s="190" t="s">
        <v>158</v>
      </c>
      <c r="C25" s="188"/>
      <c r="D25" s="188"/>
      <c r="F25" s="190" t="s">
        <v>228</v>
      </c>
      <c r="G25" s="188"/>
      <c r="H25" s="188"/>
      <c r="J25" s="190" t="s">
        <v>810</v>
      </c>
      <c r="K25" s="188"/>
      <c r="L25" s="188"/>
      <c r="N25" s="106" t="s">
        <v>217</v>
      </c>
    </row>
    <row r="26" spans="2:14" ht="43.5" customHeight="1" x14ac:dyDescent="0.4">
      <c r="B26" s="203">
        <f>COUNTIF(Inventory!R:R,"On-Premises")</f>
        <v>1</v>
      </c>
      <c r="C26" s="188"/>
      <c r="D26" s="188"/>
      <c r="F26" s="203">
        <f>COUNTIF(Inventory!R:R,"Cloud-SaaS")</f>
        <v>36</v>
      </c>
      <c r="G26" s="188"/>
      <c r="H26" s="188"/>
      <c r="J26" s="203">
        <f>COUNTIF(Inventory!R:R,"Cloud-IaaS")+COUNTIF(Inventory!R:R,"Cloud-PaaS")</f>
        <v>2</v>
      </c>
      <c r="K26" s="188"/>
      <c r="L26" s="188"/>
      <c r="N26" s="107">
        <f>COUNTIF(Inventory!R:R,"Hybrid")</f>
        <v>6</v>
      </c>
    </row>
    <row r="29" spans="2:14" ht="14.25" customHeight="1" x14ac:dyDescent="0.4">
      <c r="B29" s="219" t="s">
        <v>811</v>
      </c>
      <c r="C29" s="171"/>
      <c r="D29" s="171"/>
      <c r="E29" s="171"/>
      <c r="F29" s="171"/>
      <c r="G29" s="171"/>
      <c r="H29" s="171"/>
      <c r="I29" s="171"/>
      <c r="J29" s="171"/>
      <c r="K29" s="171"/>
      <c r="L29" s="171"/>
      <c r="M29" s="171"/>
      <c r="N29" s="171"/>
    </row>
    <row r="30" spans="2:14" ht="14.25" customHeight="1" x14ac:dyDescent="0.4">
      <c r="B30" s="211" t="s">
        <v>111</v>
      </c>
      <c r="C30" s="171"/>
      <c r="D30" s="171"/>
      <c r="F30" s="211" t="s">
        <v>126</v>
      </c>
      <c r="G30" s="171"/>
      <c r="H30" s="171"/>
      <c r="J30" s="211" t="s">
        <v>120</v>
      </c>
      <c r="K30" s="171"/>
      <c r="L30" s="171"/>
      <c r="N30" s="169" t="s">
        <v>139</v>
      </c>
    </row>
    <row r="31" spans="2:14" ht="19.5" customHeight="1" x14ac:dyDescent="0.5">
      <c r="B31" s="209">
        <f>1-COUNTIF(Inventory!K4:K54,"Sin información")/COUNTA(Inventory!F4:F54)</f>
        <v>0.89795918367346939</v>
      </c>
      <c r="C31" s="171"/>
      <c r="D31" s="171"/>
      <c r="F31" s="209">
        <f>1-COUNTIF(Inventory!Z4:Z54,"Sin información")/COUNTA(Inventory!F4:F54)</f>
        <v>0.5714285714285714</v>
      </c>
      <c r="G31" s="171"/>
      <c r="H31" s="171"/>
      <c r="J31" s="209">
        <f>1-COUNTIF(Inventory!T4:T54,"Sin información")/COUNTA(Inventory!F4:F54)</f>
        <v>0.36734693877551017</v>
      </c>
      <c r="K31" s="171"/>
      <c r="L31" s="171"/>
      <c r="N31" s="168">
        <f>1-COUNTIF(Inventory!AM4:AM54,"Sin información")/COUNTA(Inventory!F4:F54)</f>
        <v>0.34693877551020413</v>
      </c>
    </row>
    <row r="34" spans="2:9" ht="14.25" customHeight="1" x14ac:dyDescent="0.4">
      <c r="B34" s="108" t="s">
        <v>812</v>
      </c>
    </row>
    <row r="35" spans="2:9" ht="14.25" customHeight="1" x14ac:dyDescent="0.4">
      <c r="B35" s="109" t="s">
        <v>134</v>
      </c>
      <c r="C35" s="109" t="s">
        <v>813</v>
      </c>
      <c r="E35" s="109" t="s">
        <v>131</v>
      </c>
      <c r="F35" s="109" t="s">
        <v>813</v>
      </c>
      <c r="H35" s="109" t="s">
        <v>118</v>
      </c>
      <c r="I35" s="109" t="s">
        <v>813</v>
      </c>
    </row>
    <row r="36" spans="2:9" ht="14.25" customHeight="1" x14ac:dyDescent="0.4">
      <c r="B36" s="110" t="s">
        <v>814</v>
      </c>
      <c r="C36" s="111">
        <f>B7</f>
        <v>13</v>
      </c>
      <c r="E36" s="110" t="s">
        <v>162</v>
      </c>
      <c r="F36" s="111">
        <f>B22</f>
        <v>23</v>
      </c>
      <c r="H36" s="110" t="s">
        <v>158</v>
      </c>
      <c r="I36" s="111">
        <f>B26</f>
        <v>1</v>
      </c>
    </row>
    <row r="37" spans="2:9" ht="14.25" customHeight="1" x14ac:dyDescent="0.4">
      <c r="B37" s="110" t="s">
        <v>492</v>
      </c>
      <c r="C37" s="111">
        <f>F7</f>
        <v>32</v>
      </c>
      <c r="E37" s="110" t="s">
        <v>278</v>
      </c>
      <c r="F37" s="111">
        <f>F22</f>
        <v>16</v>
      </c>
      <c r="H37" s="110" t="s">
        <v>228</v>
      </c>
      <c r="I37" s="111">
        <f>F26</f>
        <v>36</v>
      </c>
    </row>
    <row r="38" spans="2:9" ht="14.25" customHeight="1" x14ac:dyDescent="0.4">
      <c r="B38" s="110" t="s">
        <v>815</v>
      </c>
      <c r="C38" s="111">
        <f>J7</f>
        <v>2</v>
      </c>
      <c r="E38" s="110" t="s">
        <v>182</v>
      </c>
      <c r="F38" s="111">
        <f>J22</f>
        <v>25</v>
      </c>
      <c r="H38" s="110" t="s">
        <v>810</v>
      </c>
      <c r="I38" s="111">
        <f>J26</f>
        <v>2</v>
      </c>
    </row>
    <row r="39" spans="2:9" ht="14.25" customHeight="1" x14ac:dyDescent="0.4">
      <c r="B39" s="110" t="s">
        <v>478</v>
      </c>
      <c r="C39" s="111">
        <f>N7</f>
        <v>22</v>
      </c>
      <c r="E39" s="110" t="s">
        <v>255</v>
      </c>
      <c r="F39" s="111">
        <f>N22</f>
        <v>4</v>
      </c>
      <c r="H39" s="110" t="s">
        <v>217</v>
      </c>
      <c r="I39" s="111">
        <f>N26</f>
        <v>6</v>
      </c>
    </row>
  </sheetData>
  <mergeCells count="46">
    <mergeCell ref="B2:N2"/>
    <mergeCell ref="F25:H25"/>
    <mergeCell ref="J14:L14"/>
    <mergeCell ref="F6:H6"/>
    <mergeCell ref="B31:D31"/>
    <mergeCell ref="B22:D22"/>
    <mergeCell ref="J13:L13"/>
    <mergeCell ref="B18:D18"/>
    <mergeCell ref="B21:D21"/>
    <mergeCell ref="B29:N29"/>
    <mergeCell ref="F30:H30"/>
    <mergeCell ref="F21:H21"/>
    <mergeCell ref="J30:L30"/>
    <mergeCell ref="B3:N3"/>
    <mergeCell ref="B16:N16"/>
    <mergeCell ref="B6:D6"/>
    <mergeCell ref="J21:L21"/>
    <mergeCell ref="F14:H14"/>
    <mergeCell ref="F7:H7"/>
    <mergeCell ref="J18:L18"/>
    <mergeCell ref="B12:N12"/>
    <mergeCell ref="J17:L17"/>
    <mergeCell ref="B7:D7"/>
    <mergeCell ref="B5:N5"/>
    <mergeCell ref="J25:L25"/>
    <mergeCell ref="F22:H22"/>
    <mergeCell ref="F13:H13"/>
    <mergeCell ref="F31:H31"/>
    <mergeCell ref="J22:L22"/>
    <mergeCell ref="J31:L31"/>
    <mergeCell ref="B9:D9"/>
    <mergeCell ref="B30:D30"/>
    <mergeCell ref="B26:D26"/>
    <mergeCell ref="B25:D25"/>
    <mergeCell ref="J6:L6"/>
    <mergeCell ref="B14:D14"/>
    <mergeCell ref="F18:H18"/>
    <mergeCell ref="B17:D17"/>
    <mergeCell ref="F26:H26"/>
    <mergeCell ref="B13:D13"/>
    <mergeCell ref="F17:H17"/>
    <mergeCell ref="J26:L26"/>
    <mergeCell ref="B24:N24"/>
    <mergeCell ref="B20:N20"/>
    <mergeCell ref="B10:D10"/>
    <mergeCell ref="J7:L7"/>
  </mergeCells>
  <pageMargins left="0.75" right="0.75" top="1" bottom="1" header="0.51180555555555596" footer="0.51180555555555596"/>
  <pageSetup paperSize="9" orientation="portrait" horizontalDpi="300" verticalDpi="300"/>
  <headerFooter>
    <oddHeader>&amp;C&amp;"Arial,Bold"&amp;9 &amp;K1b3068Gestión del Portafolio de Aplicaciones — Modelo TIME de Gartner</oddHeader>
    <oddFooter>&amp;C&amp;"Arial,Regular"&amp;8 &amp;K78909cInventario del Portafolio de Aplicaciones (APM)</oddFooter>
  </headerFooter>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2E7D32"/>
  </sheetPr>
  <dimension ref="A2:F33"/>
  <sheetViews>
    <sheetView showGridLines="0" zoomScaleNormal="100" workbookViewId="0">
      <selection activeCell="G15" sqref="G15"/>
    </sheetView>
  </sheetViews>
  <sheetFormatPr defaultColWidth="8.69140625" defaultRowHeight="14.6" x14ac:dyDescent="0.4"/>
  <cols>
    <col min="1" max="1" width="3" style="164" customWidth="1"/>
    <col min="2" max="2" width="24" style="164" customWidth="1"/>
    <col min="3" max="5" width="18" style="164" customWidth="1"/>
    <col min="6" max="6" width="40" style="164" customWidth="1"/>
  </cols>
  <sheetData>
    <row r="2" spans="2:6" ht="33.75" customHeight="1" x14ac:dyDescent="0.4">
      <c r="B2" s="217" t="s">
        <v>816</v>
      </c>
      <c r="C2" s="171"/>
      <c r="D2" s="171"/>
      <c r="E2" s="171"/>
      <c r="F2" s="171"/>
    </row>
    <row r="3" spans="2:6" ht="21.75" customHeight="1" x14ac:dyDescent="0.4">
      <c r="B3" s="178" t="s">
        <v>817</v>
      </c>
      <c r="C3" s="171"/>
      <c r="D3" s="171"/>
      <c r="E3" s="171"/>
      <c r="F3" s="171"/>
    </row>
    <row r="4" spans="2:6" ht="18" customHeight="1" x14ac:dyDescent="0.4">
      <c r="B4" s="112" t="s">
        <v>818</v>
      </c>
      <c r="C4" s="112" t="s">
        <v>819</v>
      </c>
      <c r="D4" s="112" t="s">
        <v>820</v>
      </c>
      <c r="E4" s="112" t="s">
        <v>821</v>
      </c>
      <c r="F4" s="112" t="s">
        <v>822</v>
      </c>
    </row>
    <row r="5" spans="2:6" ht="24" customHeight="1" x14ac:dyDescent="0.4">
      <c r="B5" s="113" t="s">
        <v>823</v>
      </c>
      <c r="C5" s="114" t="s">
        <v>824</v>
      </c>
      <c r="D5" s="191" t="s">
        <v>825</v>
      </c>
      <c r="E5" s="188"/>
      <c r="F5" s="188"/>
    </row>
    <row r="6" spans="2:6" ht="24" customHeight="1" x14ac:dyDescent="0.4">
      <c r="B6" s="113" t="s">
        <v>826</v>
      </c>
      <c r="C6" s="114" t="s">
        <v>824</v>
      </c>
      <c r="D6" s="191" t="s">
        <v>827</v>
      </c>
      <c r="E6" s="188"/>
      <c r="F6" s="188"/>
    </row>
    <row r="7" spans="2:6" ht="24" customHeight="1" x14ac:dyDescent="0.4">
      <c r="B7" s="113" t="s">
        <v>828</v>
      </c>
      <c r="C7" s="114" t="s">
        <v>824</v>
      </c>
      <c r="D7" s="191" t="s">
        <v>829</v>
      </c>
      <c r="E7" s="188"/>
      <c r="F7" s="188"/>
    </row>
    <row r="8" spans="2:6" ht="24" customHeight="1" x14ac:dyDescent="0.4">
      <c r="B8" s="113" t="s">
        <v>830</v>
      </c>
      <c r="C8" s="114" t="s">
        <v>824</v>
      </c>
      <c r="D8" s="191" t="s">
        <v>831</v>
      </c>
      <c r="E8" s="188"/>
      <c r="F8" s="188"/>
    </row>
    <row r="9" spans="2:6" ht="24" customHeight="1" x14ac:dyDescent="0.4">
      <c r="B9" s="113" t="s">
        <v>832</v>
      </c>
      <c r="C9" s="114" t="s">
        <v>824</v>
      </c>
      <c r="D9" s="191" t="s">
        <v>833</v>
      </c>
      <c r="E9" s="188"/>
      <c r="F9" s="188"/>
    </row>
    <row r="10" spans="2:6" ht="24" customHeight="1" x14ac:dyDescent="0.4">
      <c r="B10" s="113" t="s">
        <v>834</v>
      </c>
      <c r="C10" s="114" t="s">
        <v>824</v>
      </c>
      <c r="D10" s="191" t="s">
        <v>835</v>
      </c>
      <c r="E10" s="188"/>
      <c r="F10" s="188"/>
    </row>
    <row r="12" spans="2:6" ht="7.5" customHeight="1" x14ac:dyDescent="0.4"/>
    <row r="13" spans="2:6" ht="21.75" customHeight="1" x14ac:dyDescent="0.4">
      <c r="B13" s="178" t="s">
        <v>836</v>
      </c>
      <c r="C13" s="171"/>
      <c r="D13" s="171"/>
      <c r="E13" s="171"/>
      <c r="F13" s="171"/>
    </row>
    <row r="14" spans="2:6" ht="18" customHeight="1" x14ac:dyDescent="0.4">
      <c r="B14" s="112" t="s">
        <v>818</v>
      </c>
      <c r="C14" s="112" t="s">
        <v>819</v>
      </c>
      <c r="D14" s="112" t="s">
        <v>820</v>
      </c>
      <c r="E14" s="112" t="s">
        <v>821</v>
      </c>
      <c r="F14" s="112" t="s">
        <v>822</v>
      </c>
    </row>
    <row r="15" spans="2:6" ht="51" customHeight="1" x14ac:dyDescent="0.4">
      <c r="B15" s="115" t="s">
        <v>837</v>
      </c>
      <c r="C15" s="116" t="s">
        <v>838</v>
      </c>
      <c r="D15" s="116" t="s">
        <v>823</v>
      </c>
      <c r="E15" s="116" t="s">
        <v>839</v>
      </c>
      <c r="F15" s="116" t="s">
        <v>840</v>
      </c>
    </row>
    <row r="16" spans="2:6" ht="38.25" customHeight="1" x14ac:dyDescent="0.4">
      <c r="B16" s="117" t="s">
        <v>841</v>
      </c>
      <c r="C16" s="118" t="s">
        <v>842</v>
      </c>
      <c r="D16" s="118" t="s">
        <v>823</v>
      </c>
      <c r="E16" s="118" t="s">
        <v>843</v>
      </c>
      <c r="F16" s="118" t="s">
        <v>844</v>
      </c>
    </row>
    <row r="17" spans="2:6" ht="51" customHeight="1" x14ac:dyDescent="0.4">
      <c r="B17" s="115" t="s">
        <v>62</v>
      </c>
      <c r="C17" s="116" t="s">
        <v>845</v>
      </c>
      <c r="D17" s="116" t="s">
        <v>826</v>
      </c>
      <c r="E17" s="116" t="s">
        <v>839</v>
      </c>
      <c r="F17" s="116" t="s">
        <v>846</v>
      </c>
    </row>
    <row r="18" spans="2:6" ht="38.25" customHeight="1" x14ac:dyDescent="0.4">
      <c r="B18" s="117" t="s">
        <v>847</v>
      </c>
      <c r="C18" s="118" t="s">
        <v>845</v>
      </c>
      <c r="D18" s="118" t="s">
        <v>823</v>
      </c>
      <c r="E18" s="118" t="s">
        <v>848</v>
      </c>
      <c r="F18" s="118" t="s">
        <v>849</v>
      </c>
    </row>
    <row r="19" spans="2:6" ht="38.25" customHeight="1" x14ac:dyDescent="0.4">
      <c r="B19" s="115" t="s">
        <v>850</v>
      </c>
      <c r="C19" s="116" t="s">
        <v>851</v>
      </c>
      <c r="D19" s="116" t="s">
        <v>828</v>
      </c>
      <c r="E19" s="116" t="s">
        <v>852</v>
      </c>
      <c r="F19" s="116" t="s">
        <v>853</v>
      </c>
    </row>
    <row r="20" spans="2:6" ht="38.25" customHeight="1" x14ac:dyDescent="0.4">
      <c r="B20" s="117" t="s">
        <v>854</v>
      </c>
      <c r="C20" s="118" t="s">
        <v>855</v>
      </c>
      <c r="D20" s="118" t="s">
        <v>856</v>
      </c>
      <c r="E20" s="118" t="s">
        <v>857</v>
      </c>
      <c r="F20" s="118" t="s">
        <v>858</v>
      </c>
    </row>
    <row r="22" spans="2:6" ht="7.5" customHeight="1" x14ac:dyDescent="0.4"/>
    <row r="23" spans="2:6" ht="21.75" customHeight="1" x14ac:dyDescent="0.4">
      <c r="B23" s="178" t="s">
        <v>859</v>
      </c>
      <c r="C23" s="171"/>
      <c r="D23" s="171"/>
      <c r="E23" s="171"/>
      <c r="F23" s="171"/>
    </row>
    <row r="24" spans="2:6" ht="19.5" customHeight="1" x14ac:dyDescent="0.4">
      <c r="B24" s="221" t="s">
        <v>860</v>
      </c>
      <c r="C24" s="188"/>
      <c r="D24" s="188"/>
      <c r="E24" s="188"/>
      <c r="F24" s="188"/>
    </row>
    <row r="25" spans="2:6" ht="19.5" customHeight="1" x14ac:dyDescent="0.4">
      <c r="B25" s="220" t="s">
        <v>861</v>
      </c>
      <c r="C25" s="188"/>
      <c r="D25" s="188"/>
      <c r="E25" s="188"/>
      <c r="F25" s="188"/>
    </row>
    <row r="26" spans="2:6" ht="19.5" customHeight="1" x14ac:dyDescent="0.4">
      <c r="B26" s="221" t="s">
        <v>862</v>
      </c>
      <c r="C26" s="188"/>
      <c r="D26" s="188"/>
      <c r="E26" s="188"/>
      <c r="F26" s="188"/>
    </row>
    <row r="27" spans="2:6" ht="19.5" customHeight="1" x14ac:dyDescent="0.4">
      <c r="B27" s="220" t="s">
        <v>863</v>
      </c>
      <c r="C27" s="188"/>
      <c r="D27" s="188"/>
      <c r="E27" s="188"/>
      <c r="F27" s="188"/>
    </row>
    <row r="28" spans="2:6" ht="19.5" customHeight="1" x14ac:dyDescent="0.4">
      <c r="B28" s="221" t="s">
        <v>864</v>
      </c>
      <c r="C28" s="188"/>
      <c r="D28" s="188"/>
      <c r="E28" s="188"/>
      <c r="F28" s="188"/>
    </row>
    <row r="29" spans="2:6" ht="19.5" customHeight="1" x14ac:dyDescent="0.4">
      <c r="B29" s="220" t="s">
        <v>865</v>
      </c>
      <c r="C29" s="188"/>
      <c r="D29" s="188"/>
      <c r="E29" s="188"/>
      <c r="F29" s="188"/>
    </row>
    <row r="30" spans="2:6" ht="19.5" customHeight="1" x14ac:dyDescent="0.4">
      <c r="B30" s="221" t="s">
        <v>866</v>
      </c>
      <c r="C30" s="188"/>
      <c r="D30" s="188"/>
      <c r="E30" s="188"/>
      <c r="F30" s="188"/>
    </row>
    <row r="31" spans="2:6" ht="19.5" customHeight="1" x14ac:dyDescent="0.4">
      <c r="B31" s="220" t="s">
        <v>867</v>
      </c>
      <c r="C31" s="188"/>
      <c r="D31" s="188"/>
      <c r="E31" s="188"/>
      <c r="F31" s="188"/>
    </row>
    <row r="32" spans="2:6" ht="19.5" customHeight="1" x14ac:dyDescent="0.4">
      <c r="B32" s="221" t="s">
        <v>868</v>
      </c>
      <c r="C32" s="188"/>
      <c r="D32" s="188"/>
      <c r="E32" s="188"/>
      <c r="F32" s="188"/>
    </row>
    <row r="33" spans="2:6" ht="19.5" customHeight="1" x14ac:dyDescent="0.4">
      <c r="B33" s="220" t="s">
        <v>869</v>
      </c>
      <c r="C33" s="188"/>
      <c r="D33" s="188"/>
      <c r="E33" s="188"/>
      <c r="F33" s="188"/>
    </row>
  </sheetData>
  <mergeCells count="20">
    <mergeCell ref="B33:F33"/>
    <mergeCell ref="B32:F32"/>
    <mergeCell ref="D6:F6"/>
    <mergeCell ref="B26:F26"/>
    <mergeCell ref="B2:F2"/>
    <mergeCell ref="D9:F9"/>
    <mergeCell ref="B23:F23"/>
    <mergeCell ref="D8:F8"/>
    <mergeCell ref="B13:F13"/>
    <mergeCell ref="D5:F5"/>
    <mergeCell ref="D10:F10"/>
    <mergeCell ref="B25:F25"/>
    <mergeCell ref="B3:F3"/>
    <mergeCell ref="B31:F31"/>
    <mergeCell ref="D7:F7"/>
    <mergeCell ref="B27:F27"/>
    <mergeCell ref="B29:F29"/>
    <mergeCell ref="B28:F28"/>
    <mergeCell ref="B30:F30"/>
    <mergeCell ref="B24:F24"/>
  </mergeCells>
  <pageMargins left="0.75" right="0.75" top="1" bottom="1" header="0.51180555555555596" footer="0.51180555555555596"/>
  <pageSetup paperSize="9" orientation="portrait" horizontalDpi="300" verticalDpi="300"/>
  <headerFooter>
    <oddHeader>&amp;C&amp;"Arial,Bold"&amp;9 &amp;K1b3068Gestión del Portafolio de Aplicaciones — Modelo TIME de Gartner</oddHeader>
    <oddFooter>&amp;C&amp;"Arial,Regular"&amp;8 &amp;K78909cInventario del Portafolio de Aplicaciones (APM)</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78909C"/>
  </sheetPr>
  <dimension ref="A2:J30"/>
  <sheetViews>
    <sheetView showGridLines="0" zoomScaleNormal="100" workbookViewId="0">
      <selection activeCell="C41" sqref="C41"/>
    </sheetView>
  </sheetViews>
  <sheetFormatPr defaultColWidth="8.69140625" defaultRowHeight="14.6" x14ac:dyDescent="0.4"/>
  <cols>
    <col min="1" max="1" width="3" style="164" customWidth="1"/>
    <col min="2" max="7" width="26" style="164" customWidth="1"/>
    <col min="8" max="8" width="28.07421875" style="164" customWidth="1"/>
    <col min="9" max="9" width="41.84375" style="164" customWidth="1"/>
  </cols>
  <sheetData>
    <row r="2" spans="2:10" ht="19.5" customHeight="1" x14ac:dyDescent="0.4">
      <c r="B2" s="119" t="s">
        <v>870</v>
      </c>
      <c r="C2" s="119" t="s">
        <v>118</v>
      </c>
      <c r="D2" s="119" t="s">
        <v>131</v>
      </c>
      <c r="E2" s="119" t="s">
        <v>137</v>
      </c>
      <c r="F2" s="119" t="s">
        <v>139</v>
      </c>
      <c r="G2" s="119" t="s">
        <v>134</v>
      </c>
      <c r="H2" s="120" t="s">
        <v>108</v>
      </c>
      <c r="I2" s="120" t="s">
        <v>109</v>
      </c>
    </row>
    <row r="3" spans="2:10" ht="18" customHeight="1" x14ac:dyDescent="0.4">
      <c r="B3" s="121" t="s">
        <v>243</v>
      </c>
      <c r="C3" s="121" t="s">
        <v>158</v>
      </c>
      <c r="D3" s="121" t="s">
        <v>162</v>
      </c>
      <c r="E3" s="121" t="s">
        <v>163</v>
      </c>
      <c r="F3" s="121" t="s">
        <v>448</v>
      </c>
      <c r="G3" s="121" t="s">
        <v>814</v>
      </c>
      <c r="H3" s="121" t="s">
        <v>350</v>
      </c>
      <c r="I3" s="121" t="s">
        <v>606</v>
      </c>
      <c r="J3" s="121"/>
    </row>
    <row r="4" spans="2:10" ht="18" customHeight="1" x14ac:dyDescent="0.4">
      <c r="B4" s="122" t="s">
        <v>275</v>
      </c>
      <c r="C4" s="122" t="s">
        <v>871</v>
      </c>
      <c r="D4" s="122" t="s">
        <v>278</v>
      </c>
      <c r="E4" s="122" t="s">
        <v>183</v>
      </c>
      <c r="F4" s="122" t="s">
        <v>264</v>
      </c>
      <c r="G4" s="122" t="s">
        <v>492</v>
      </c>
      <c r="H4" s="122" t="s">
        <v>413</v>
      </c>
      <c r="I4" s="122" t="s">
        <v>224</v>
      </c>
      <c r="J4" s="122"/>
    </row>
    <row r="5" spans="2:10" ht="18" customHeight="1" x14ac:dyDescent="0.4">
      <c r="B5" s="121" t="s">
        <v>157</v>
      </c>
      <c r="C5" s="121" t="s">
        <v>176</v>
      </c>
      <c r="D5" s="121" t="s">
        <v>182</v>
      </c>
      <c r="E5" s="121" t="s">
        <v>263</v>
      </c>
      <c r="F5" s="121" t="s">
        <v>164</v>
      </c>
      <c r="G5" s="121" t="s">
        <v>815</v>
      </c>
      <c r="H5" s="121" t="s">
        <v>294</v>
      </c>
      <c r="I5" s="121" t="s">
        <v>150</v>
      </c>
      <c r="J5" s="121"/>
    </row>
    <row r="6" spans="2:10" ht="18" customHeight="1" x14ac:dyDescent="0.4">
      <c r="B6" s="122" t="s">
        <v>872</v>
      </c>
      <c r="C6" s="122" t="s">
        <v>228</v>
      </c>
      <c r="D6" s="122" t="s">
        <v>255</v>
      </c>
      <c r="E6" s="122" t="s">
        <v>873</v>
      </c>
      <c r="F6" s="122" t="s">
        <v>184</v>
      </c>
      <c r="G6" s="122" t="s">
        <v>478</v>
      </c>
      <c r="H6" s="122" t="s">
        <v>676</v>
      </c>
      <c r="I6" s="122" t="s">
        <v>212</v>
      </c>
      <c r="J6" s="122"/>
    </row>
    <row r="7" spans="2:10" ht="18" customHeight="1" x14ac:dyDescent="0.4">
      <c r="B7" s="121" t="s">
        <v>874</v>
      </c>
      <c r="C7" s="121" t="s">
        <v>217</v>
      </c>
      <c r="D7" s="121"/>
      <c r="E7" s="123" t="s">
        <v>595</v>
      </c>
      <c r="F7" s="121"/>
      <c r="G7" s="121"/>
      <c r="H7" s="121" t="s">
        <v>191</v>
      </c>
      <c r="I7" s="121" t="s">
        <v>461</v>
      </c>
      <c r="J7" s="121"/>
    </row>
    <row r="8" spans="2:10" ht="18" customHeight="1" x14ac:dyDescent="0.4">
      <c r="B8" s="122" t="s">
        <v>875</v>
      </c>
      <c r="C8" s="122" t="s">
        <v>876</v>
      </c>
      <c r="D8" s="122"/>
      <c r="E8" s="122"/>
      <c r="F8" s="122"/>
      <c r="G8" s="122"/>
      <c r="H8" s="122" t="s">
        <v>605</v>
      </c>
      <c r="I8" s="122" t="s">
        <v>192</v>
      </c>
      <c r="J8" s="122"/>
    </row>
    <row r="9" spans="2:10" ht="18" customHeight="1" x14ac:dyDescent="0.4">
      <c r="B9" s="121" t="s">
        <v>877</v>
      </c>
      <c r="C9" s="121"/>
      <c r="D9" s="121"/>
      <c r="E9" s="121"/>
      <c r="F9" s="121"/>
      <c r="G9" s="121"/>
      <c r="H9" s="121" t="s">
        <v>687</v>
      </c>
      <c r="I9" s="121" t="s">
        <v>626</v>
      </c>
      <c r="J9" s="121"/>
    </row>
    <row r="10" spans="2:10" ht="18" customHeight="1" x14ac:dyDescent="0.4">
      <c r="C10" s="122"/>
      <c r="D10" s="122"/>
      <c r="E10" s="122"/>
      <c r="F10" s="122"/>
      <c r="G10" s="122"/>
      <c r="H10" s="122" t="s">
        <v>625</v>
      </c>
      <c r="I10" s="122" t="s">
        <v>639</v>
      </c>
      <c r="J10" s="122"/>
    </row>
    <row r="11" spans="2:10" ht="14.25" customHeight="1" x14ac:dyDescent="0.4">
      <c r="C11" s="121"/>
      <c r="D11" s="121"/>
      <c r="E11" s="121"/>
      <c r="F11" s="121"/>
      <c r="G11" s="121"/>
      <c r="H11" s="121" t="s">
        <v>149</v>
      </c>
      <c r="I11" s="121" t="s">
        <v>688</v>
      </c>
      <c r="J11" s="121"/>
    </row>
    <row r="12" spans="2:10" ht="14.25" customHeight="1" x14ac:dyDescent="0.4">
      <c r="C12" s="122"/>
      <c r="D12" s="122"/>
      <c r="E12" s="122"/>
      <c r="F12" s="122"/>
      <c r="G12" s="122"/>
      <c r="H12" s="122" t="s">
        <v>306</v>
      </c>
      <c r="I12" s="122" t="s">
        <v>370</v>
      </c>
      <c r="J12" s="122"/>
    </row>
    <row r="13" spans="2:10" ht="14.25" customHeight="1" x14ac:dyDescent="0.4">
      <c r="C13" s="121"/>
      <c r="D13" s="121"/>
      <c r="E13" s="121"/>
      <c r="F13" s="121"/>
      <c r="G13" s="121"/>
      <c r="H13" s="121" t="s">
        <v>369</v>
      </c>
      <c r="I13" s="121" t="s">
        <v>414</v>
      </c>
      <c r="J13" s="121"/>
    </row>
    <row r="14" spans="2:10" ht="14.25" customHeight="1" x14ac:dyDescent="0.4">
      <c r="C14" s="122"/>
      <c r="D14" s="122"/>
      <c r="E14" s="122"/>
      <c r="F14" s="122"/>
      <c r="G14" s="122"/>
      <c r="H14" s="122"/>
      <c r="I14" s="122" t="s">
        <v>564</v>
      </c>
      <c r="J14" s="122"/>
    </row>
    <row r="15" spans="2:10" ht="14.25" customHeight="1" x14ac:dyDescent="0.4">
      <c r="C15" s="121"/>
      <c r="D15" s="121"/>
      <c r="E15" s="121"/>
      <c r="F15" s="121"/>
      <c r="G15" s="121"/>
      <c r="H15" s="121"/>
      <c r="I15" s="121" t="s">
        <v>295</v>
      </c>
      <c r="J15" s="121"/>
    </row>
    <row r="16" spans="2:10" ht="14.25" customHeight="1" x14ac:dyDescent="0.4">
      <c r="C16" s="122"/>
      <c r="D16" s="122"/>
      <c r="E16" s="122"/>
      <c r="F16" s="122"/>
      <c r="G16" s="122"/>
      <c r="H16" s="122"/>
      <c r="I16" s="122" t="s">
        <v>307</v>
      </c>
      <c r="J16" s="122"/>
    </row>
    <row r="17" spans="3:10" ht="14.25" customHeight="1" x14ac:dyDescent="0.4">
      <c r="C17" s="121"/>
      <c r="D17" s="121"/>
      <c r="E17" s="121"/>
      <c r="F17" s="121"/>
      <c r="G17" s="121"/>
      <c r="H17" s="121"/>
      <c r="I17" s="121" t="s">
        <v>541</v>
      </c>
      <c r="J17" s="121"/>
    </row>
    <row r="18" spans="3:10" ht="14.25" customHeight="1" x14ac:dyDescent="0.4">
      <c r="C18" s="122"/>
      <c r="D18" s="122"/>
      <c r="E18" s="122"/>
      <c r="F18" s="122"/>
      <c r="G18" s="122"/>
      <c r="H18" s="122"/>
      <c r="I18" s="122" t="s">
        <v>677</v>
      </c>
      <c r="J18" s="122"/>
    </row>
    <row r="19" spans="3:10" ht="14.25" customHeight="1" x14ac:dyDescent="0.4">
      <c r="C19" s="121"/>
      <c r="D19" s="121"/>
      <c r="E19" s="121"/>
      <c r="F19" s="121"/>
      <c r="G19" s="121"/>
      <c r="H19" s="121"/>
      <c r="I19" s="121" t="s">
        <v>351</v>
      </c>
      <c r="J19" s="121"/>
    </row>
    <row r="20" spans="3:10" ht="14.25" customHeight="1" x14ac:dyDescent="0.4">
      <c r="C20" s="122"/>
      <c r="D20" s="122"/>
      <c r="E20" s="122"/>
      <c r="F20" s="122"/>
      <c r="G20" s="122"/>
      <c r="H20" s="122"/>
      <c r="I20" s="122"/>
      <c r="J20" s="122"/>
    </row>
    <row r="21" spans="3:10" ht="14.25" customHeight="1" x14ac:dyDescent="0.4">
      <c r="C21" s="121"/>
      <c r="D21" s="121"/>
      <c r="E21" s="121"/>
      <c r="F21" s="121"/>
      <c r="G21" s="121"/>
      <c r="H21" s="121"/>
      <c r="I21" s="121"/>
      <c r="J21" s="121"/>
    </row>
    <row r="22" spans="3:10" ht="14.25" customHeight="1" x14ac:dyDescent="0.4">
      <c r="C22" s="122"/>
      <c r="D22" s="122"/>
      <c r="E22" s="122"/>
      <c r="F22" s="122"/>
      <c r="G22" s="122"/>
      <c r="H22" s="122"/>
      <c r="I22" s="122"/>
      <c r="J22" s="122"/>
    </row>
    <row r="23" spans="3:10" ht="14.25" customHeight="1" x14ac:dyDescent="0.4">
      <c r="C23" s="121"/>
      <c r="D23" s="121"/>
      <c r="E23" s="121"/>
      <c r="F23" s="121"/>
      <c r="G23" s="121"/>
      <c r="H23" s="121"/>
      <c r="I23" s="121"/>
      <c r="J23" s="121"/>
    </row>
    <row r="24" spans="3:10" ht="14.25" customHeight="1" x14ac:dyDescent="0.4">
      <c r="C24" s="122"/>
      <c r="D24" s="122"/>
      <c r="E24" s="122"/>
      <c r="F24" s="122"/>
      <c r="G24" s="122"/>
      <c r="H24" s="122"/>
      <c r="I24" s="122"/>
      <c r="J24" s="122"/>
    </row>
    <row r="25" spans="3:10" ht="14.25" customHeight="1" x14ac:dyDescent="0.4">
      <c r="C25" s="121"/>
      <c r="D25" s="121"/>
      <c r="E25" s="121"/>
      <c r="F25" s="121"/>
      <c r="G25" s="121"/>
      <c r="H25" s="121"/>
      <c r="I25" s="121"/>
      <c r="J25" s="121"/>
    </row>
    <row r="26" spans="3:10" ht="14.25" customHeight="1" x14ac:dyDescent="0.4">
      <c r="C26" s="122"/>
      <c r="D26" s="122"/>
      <c r="E26" s="122"/>
      <c r="F26" s="122"/>
      <c r="G26" s="122"/>
      <c r="H26" s="122"/>
      <c r="I26" s="122"/>
      <c r="J26" s="122"/>
    </row>
    <row r="27" spans="3:10" ht="14.25" customHeight="1" x14ac:dyDescent="0.4">
      <c r="C27" s="121"/>
      <c r="D27" s="121"/>
      <c r="E27" s="121"/>
      <c r="F27" s="121"/>
      <c r="G27" s="121"/>
      <c r="H27" s="121"/>
      <c r="I27" s="121"/>
      <c r="J27" s="121"/>
    </row>
    <row r="28" spans="3:10" ht="14.25" customHeight="1" x14ac:dyDescent="0.4">
      <c r="C28" s="122"/>
      <c r="D28" s="122"/>
      <c r="E28" s="122"/>
      <c r="F28" s="122"/>
      <c r="G28" s="122"/>
      <c r="H28" s="122"/>
      <c r="I28" s="122"/>
      <c r="J28" s="122"/>
    </row>
    <row r="29" spans="3:10" ht="14.25" customHeight="1" x14ac:dyDescent="0.4">
      <c r="C29" s="121"/>
      <c r="D29" s="121"/>
      <c r="E29" s="121"/>
      <c r="F29" s="121"/>
      <c r="G29" s="121"/>
      <c r="H29" s="121"/>
      <c r="I29" s="121"/>
      <c r="J29" s="121"/>
    </row>
    <row r="30" spans="3:10" ht="14.25" customHeight="1" x14ac:dyDescent="0.4">
      <c r="C30" s="122"/>
      <c r="D30" s="122"/>
      <c r="E30" s="122"/>
      <c r="F30" s="122"/>
      <c r="G30" s="122"/>
      <c r="H30" s="122"/>
      <c r="I30" s="122"/>
      <c r="J30" s="122"/>
    </row>
  </sheetData>
  <pageMargins left="0.75" right="0.75" top="1" bottom="1" header="0.51180555555555596" footer="0.51180555555555596"/>
  <pageSetup paperSize="9" orientation="portrait" horizontalDpi="300" verticalDpi="300"/>
  <headerFooter>
    <oddHeader>&amp;C&amp;"Arial,Bold"&amp;9 &amp;K1b3068Gestión del Portafolio de Aplicaciones — Modelo TIME de Gartner</oddHeader>
    <oddFooter>&amp;C&amp;"Arial,Regular"&amp;8 &amp;K78909cInventario del Portafolio de Aplicaciones (APM)</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D31"/>
  <sheetViews>
    <sheetView workbookViewId="0"/>
  </sheetViews>
  <sheetFormatPr defaultColWidth="8.84375" defaultRowHeight="14.6" x14ac:dyDescent="0.4"/>
  <sheetData>
    <row r="1" spans="1:4" x14ac:dyDescent="0.4">
      <c r="A1" s="155" t="s">
        <v>878</v>
      </c>
      <c r="D1" t="s">
        <v>879</v>
      </c>
    </row>
    <row r="2" spans="1:4" x14ac:dyDescent="0.4">
      <c r="A2" t="s">
        <v>879</v>
      </c>
      <c r="D2" t="s">
        <v>880</v>
      </c>
    </row>
    <row r="3" spans="1:4" x14ac:dyDescent="0.4">
      <c r="A3" t="s">
        <v>880</v>
      </c>
      <c r="D3" t="s">
        <v>881</v>
      </c>
    </row>
    <row r="4" spans="1:4" x14ac:dyDescent="0.4">
      <c r="A4" t="s">
        <v>881</v>
      </c>
      <c r="D4" t="s">
        <v>882</v>
      </c>
    </row>
    <row r="5" spans="1:4" x14ac:dyDescent="0.4">
      <c r="A5" t="s">
        <v>882</v>
      </c>
      <c r="D5" t="s">
        <v>883</v>
      </c>
    </row>
    <row r="6" spans="1:4" x14ac:dyDescent="0.4">
      <c r="A6" t="s">
        <v>883</v>
      </c>
      <c r="D6" t="s">
        <v>500</v>
      </c>
    </row>
    <row r="7" spans="1:4" x14ac:dyDescent="0.4">
      <c r="A7" s="155" t="s">
        <v>884</v>
      </c>
      <c r="D7" t="s">
        <v>885</v>
      </c>
    </row>
    <row r="8" spans="1:4" x14ac:dyDescent="0.4">
      <c r="A8" t="s">
        <v>500</v>
      </c>
      <c r="D8" t="s">
        <v>886</v>
      </c>
    </row>
    <row r="9" spans="1:4" x14ac:dyDescent="0.4">
      <c r="A9" t="s">
        <v>885</v>
      </c>
      <c r="D9" t="s">
        <v>887</v>
      </c>
    </row>
    <row r="10" spans="1:4" x14ac:dyDescent="0.4">
      <c r="A10" t="s">
        <v>886</v>
      </c>
      <c r="D10" t="s">
        <v>888</v>
      </c>
    </row>
    <row r="11" spans="1:4" x14ac:dyDescent="0.4">
      <c r="A11" t="s">
        <v>887</v>
      </c>
      <c r="D11" t="s">
        <v>889</v>
      </c>
    </row>
    <row r="12" spans="1:4" x14ac:dyDescent="0.4">
      <c r="A12" t="s">
        <v>888</v>
      </c>
      <c r="D12" t="s">
        <v>890</v>
      </c>
    </row>
    <row r="13" spans="1:4" x14ac:dyDescent="0.4">
      <c r="A13" t="s">
        <v>889</v>
      </c>
      <c r="D13" t="s">
        <v>891</v>
      </c>
    </row>
    <row r="14" spans="1:4" x14ac:dyDescent="0.4">
      <c r="A14" t="s">
        <v>890</v>
      </c>
      <c r="D14" t="s">
        <v>892</v>
      </c>
    </row>
    <row r="15" spans="1:4" x14ac:dyDescent="0.4">
      <c r="A15" t="s">
        <v>891</v>
      </c>
      <c r="D15" t="s">
        <v>893</v>
      </c>
    </row>
    <row r="16" spans="1:4" x14ac:dyDescent="0.4">
      <c r="A16" t="s">
        <v>892</v>
      </c>
      <c r="D16" t="s">
        <v>894</v>
      </c>
    </row>
    <row r="17" spans="1:4" x14ac:dyDescent="0.4">
      <c r="A17" t="s">
        <v>893</v>
      </c>
      <c r="D17" t="s">
        <v>271</v>
      </c>
    </row>
    <row r="18" spans="1:4" x14ac:dyDescent="0.4">
      <c r="A18" s="155" t="s">
        <v>895</v>
      </c>
      <c r="D18" t="s">
        <v>896</v>
      </c>
    </row>
    <row r="19" spans="1:4" x14ac:dyDescent="0.4">
      <c r="A19" t="s">
        <v>894</v>
      </c>
      <c r="D19" t="s">
        <v>411</v>
      </c>
    </row>
    <row r="20" spans="1:4" x14ac:dyDescent="0.4">
      <c r="A20" t="s">
        <v>271</v>
      </c>
      <c r="D20" t="s">
        <v>897</v>
      </c>
    </row>
    <row r="21" spans="1:4" x14ac:dyDescent="0.4">
      <c r="A21" t="s">
        <v>896</v>
      </c>
      <c r="D21" t="s">
        <v>300</v>
      </c>
    </row>
    <row r="22" spans="1:4" x14ac:dyDescent="0.4">
      <c r="A22" t="s">
        <v>411</v>
      </c>
      <c r="D22" t="s">
        <v>898</v>
      </c>
    </row>
    <row r="23" spans="1:4" x14ac:dyDescent="0.4">
      <c r="A23" t="s">
        <v>897</v>
      </c>
      <c r="D23" t="s">
        <v>899</v>
      </c>
    </row>
    <row r="24" spans="1:4" x14ac:dyDescent="0.4">
      <c r="A24" s="155" t="s">
        <v>900</v>
      </c>
      <c r="D24" t="s">
        <v>901</v>
      </c>
    </row>
    <row r="25" spans="1:4" x14ac:dyDescent="0.4">
      <c r="A25" t="s">
        <v>300</v>
      </c>
      <c r="D25" t="s">
        <v>902</v>
      </c>
    </row>
    <row r="26" spans="1:4" x14ac:dyDescent="0.4">
      <c r="A26" t="s">
        <v>898</v>
      </c>
      <c r="D26" t="s">
        <v>903</v>
      </c>
    </row>
    <row r="27" spans="1:4" x14ac:dyDescent="0.4">
      <c r="A27" t="s">
        <v>899</v>
      </c>
    </row>
    <row r="28" spans="1:4" x14ac:dyDescent="0.4">
      <c r="A28" s="155" t="s">
        <v>904</v>
      </c>
    </row>
    <row r="29" spans="1:4" x14ac:dyDescent="0.4">
      <c r="A29" t="s">
        <v>901</v>
      </c>
    </row>
    <row r="30" spans="1:4" x14ac:dyDescent="0.4">
      <c r="A30" t="s">
        <v>902</v>
      </c>
    </row>
    <row r="31" spans="1:4" x14ac:dyDescent="0.4">
      <c r="A31" t="s">
        <v>903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1</vt:i4>
      </vt:variant>
    </vt:vector>
  </HeadingPairs>
  <TitlesOfParts>
    <vt:vector size="9" baseType="lpstr">
      <vt:lpstr>Portada</vt:lpstr>
      <vt:lpstr>README</vt:lpstr>
      <vt:lpstr>Inventory</vt:lpstr>
      <vt:lpstr>TIME Assessment</vt:lpstr>
      <vt:lpstr>Dashboard</vt:lpstr>
      <vt:lpstr>Process</vt:lpstr>
      <vt:lpstr>Lookups</vt:lpstr>
      <vt:lpstr>Hoja1</vt:lpstr>
      <vt:lpstr>Portada!Print_Area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Juan Samperio</cp:lastModifiedBy>
  <cp:revision>3</cp:revision>
  <dcterms:created xsi:type="dcterms:W3CDTF">2026-07-25T00:58:00Z</dcterms:created>
  <dcterms:modified xsi:type="dcterms:W3CDTF">2026-09-24T23:53:22Z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0x010100C84CE8345355F343B3903F0DDBAC2920</vt:lpwstr>
  </property>
</Properties>
</file>